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16922\Desktop\NPC2022\"/>
    </mc:Choice>
  </mc:AlternateContent>
  <xr:revisionPtr revIDLastSave="0" documentId="13_ncr:1_{F8DFCCEF-0563-48A6-B17F-3DDCA3E3DD62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数据集" sheetId="1" r:id="rId1"/>
    <sheet name="A100 全图" sheetId="3" r:id="rId2"/>
    <sheet name="V100 全图" sheetId="5" r:id="rId3"/>
    <sheet name="V100 minibatch" sheetId="6" r:id="rId4"/>
    <sheet name="算子拆分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9" i="5" l="1"/>
  <c r="Q30" i="5"/>
  <c r="Q31" i="5"/>
  <c r="Q32" i="5"/>
  <c r="Q33" i="5"/>
  <c r="Q34" i="5"/>
  <c r="Q28" i="5"/>
  <c r="M29" i="5"/>
  <c r="M30" i="5"/>
  <c r="M31" i="5"/>
  <c r="M32" i="5"/>
  <c r="M33" i="5"/>
  <c r="M34" i="5"/>
  <c r="M28" i="5"/>
  <c r="I29" i="5"/>
  <c r="I30" i="5"/>
  <c r="I31" i="5"/>
  <c r="I32" i="5"/>
  <c r="I33" i="5"/>
  <c r="I34" i="5"/>
  <c r="I28" i="5"/>
  <c r="E29" i="5"/>
  <c r="E30" i="5"/>
  <c r="E31" i="5"/>
  <c r="E32" i="5"/>
  <c r="E28" i="5"/>
  <c r="E17" i="5"/>
  <c r="E18" i="5"/>
  <c r="E19" i="5"/>
  <c r="E20" i="5"/>
  <c r="I17" i="5"/>
  <c r="I18" i="5"/>
  <c r="I19" i="5"/>
  <c r="I20" i="5"/>
  <c r="I21" i="5"/>
  <c r="I22" i="5"/>
  <c r="M17" i="5"/>
  <c r="M18" i="5"/>
  <c r="M19" i="5"/>
  <c r="M20" i="5"/>
  <c r="M21" i="5"/>
  <c r="M22" i="5"/>
  <c r="Q17" i="5"/>
  <c r="Q18" i="5"/>
  <c r="Q19" i="5"/>
  <c r="Q20" i="5"/>
  <c r="Q21" i="5"/>
  <c r="Q22" i="5"/>
  <c r="Q5" i="5"/>
  <c r="Q6" i="5"/>
  <c r="Q7" i="5"/>
  <c r="Q8" i="5"/>
  <c r="Q9" i="5"/>
  <c r="Q10" i="5"/>
  <c r="Q16" i="5"/>
  <c r="M16" i="5"/>
  <c r="I16" i="5"/>
  <c r="E16" i="5"/>
  <c r="Q4" i="5"/>
  <c r="M5" i="5"/>
  <c r="M6" i="5"/>
  <c r="M7" i="5"/>
  <c r="M8" i="5"/>
  <c r="M9" i="5"/>
  <c r="M10" i="5"/>
  <c r="M4" i="5"/>
  <c r="E5" i="5"/>
  <c r="E6" i="5"/>
  <c r="E7" i="5"/>
  <c r="E8" i="5"/>
  <c r="E4" i="5"/>
  <c r="I5" i="5"/>
  <c r="I6" i="5"/>
  <c r="I7" i="5"/>
  <c r="I8" i="5"/>
  <c r="I9" i="5"/>
  <c r="I10" i="5"/>
  <c r="I4" i="5"/>
  <c r="E4" i="3"/>
  <c r="Q17" i="3"/>
  <c r="Q18" i="3"/>
  <c r="Q19" i="3"/>
  <c r="Q20" i="3"/>
  <c r="Q21" i="3"/>
  <c r="Q22" i="3"/>
  <c r="Q16" i="3"/>
  <c r="M17" i="3"/>
  <c r="M18" i="3"/>
  <c r="M19" i="3"/>
  <c r="M20" i="3"/>
  <c r="M21" i="3"/>
  <c r="M22" i="3"/>
  <c r="M16" i="3"/>
  <c r="I17" i="3"/>
  <c r="I18" i="3"/>
  <c r="I19" i="3"/>
  <c r="I20" i="3"/>
  <c r="I21" i="3"/>
  <c r="I22" i="3"/>
  <c r="I16" i="3"/>
  <c r="E20" i="3"/>
  <c r="E17" i="3"/>
  <c r="E18" i="3"/>
  <c r="E19" i="3"/>
  <c r="E16" i="3"/>
  <c r="Q29" i="3"/>
  <c r="Q30" i="3"/>
  <c r="Q31" i="3"/>
  <c r="Q32" i="3"/>
  <c r="Q33" i="3"/>
  <c r="Q34" i="3"/>
  <c r="Q28" i="3"/>
  <c r="M29" i="3"/>
  <c r="M30" i="3"/>
  <c r="M31" i="3"/>
  <c r="M32" i="3"/>
  <c r="M33" i="3"/>
  <c r="M34" i="3"/>
  <c r="M28" i="3"/>
  <c r="I29" i="3"/>
  <c r="I30" i="3"/>
  <c r="I31" i="3"/>
  <c r="I32" i="3"/>
  <c r="I33" i="3"/>
  <c r="I34" i="3"/>
  <c r="I28" i="3"/>
  <c r="E29" i="3"/>
  <c r="E30" i="3"/>
  <c r="E31" i="3"/>
  <c r="E32" i="3"/>
  <c r="E28" i="3"/>
  <c r="Q5" i="3"/>
  <c r="Q6" i="3"/>
  <c r="Q7" i="3"/>
  <c r="Q8" i="3"/>
  <c r="Q9" i="3"/>
  <c r="Q10" i="3"/>
  <c r="Q4" i="3"/>
  <c r="M5" i="3"/>
  <c r="M6" i="3"/>
  <c r="M7" i="3"/>
  <c r="M8" i="3"/>
  <c r="M9" i="3"/>
  <c r="M10" i="3"/>
  <c r="M4" i="3"/>
  <c r="I5" i="3"/>
  <c r="I6" i="3"/>
  <c r="I7" i="3"/>
  <c r="I8" i="3"/>
  <c r="I9" i="3"/>
  <c r="I10" i="3"/>
  <c r="I4" i="3"/>
  <c r="E5" i="3"/>
  <c r="E6" i="3"/>
  <c r="E7" i="3"/>
  <c r="E8" i="3"/>
  <c r="L18" i="1"/>
  <c r="L22" i="1"/>
  <c r="L12" i="1"/>
  <c r="I72" i="1"/>
  <c r="I59" i="1"/>
  <c r="I58" i="1"/>
  <c r="I43" i="1"/>
  <c r="I42" i="1"/>
  <c r="I68" i="1"/>
  <c r="I61" i="1"/>
  <c r="I62" i="1"/>
  <c r="I63" i="1"/>
  <c r="I69" i="1"/>
  <c r="I70" i="1"/>
  <c r="I71" i="1"/>
  <c r="I55" i="1"/>
  <c r="I56" i="1"/>
  <c r="I57" i="1"/>
  <c r="I60" i="1"/>
  <c r="I47" i="1"/>
  <c r="I48" i="1"/>
  <c r="I49" i="1"/>
  <c r="I44" i="1"/>
  <c r="I45" i="1"/>
  <c r="I46" i="1"/>
  <c r="L3" i="1"/>
  <c r="L4" i="1"/>
  <c r="L5" i="1"/>
  <c r="L6" i="1"/>
  <c r="L7" i="1"/>
  <c r="L8" i="1"/>
  <c r="L9" i="1"/>
  <c r="L10" i="1"/>
  <c r="L11" i="1"/>
  <c r="L13" i="1"/>
  <c r="L14" i="1"/>
  <c r="L15" i="1"/>
  <c r="L16" i="1"/>
  <c r="L17" i="1"/>
  <c r="L19" i="1"/>
  <c r="L20" i="1"/>
  <c r="L21" i="1"/>
  <c r="L23" i="1"/>
  <c r="L2" i="1"/>
</calcChain>
</file>

<file path=xl/sharedStrings.xml><?xml version="1.0" encoding="utf-8"?>
<sst xmlns="http://schemas.openxmlformats.org/spreadsheetml/2006/main" count="547" uniqueCount="86">
  <si>
    <t>#Nodes</t>
    <phoneticPr fontId="1" type="noConversion"/>
  </si>
  <si>
    <t>#Edges</t>
    <phoneticPr fontId="1" type="noConversion"/>
  </si>
  <si>
    <t>Feature Length</t>
    <phoneticPr fontId="1" type="noConversion"/>
  </si>
  <si>
    <t>Graph Density</t>
    <phoneticPr fontId="1" type="noConversion"/>
  </si>
  <si>
    <t>Feature Density</t>
    <phoneticPr fontId="1" type="noConversion"/>
  </si>
  <si>
    <t>amazon0601</t>
  </si>
  <si>
    <t>artist</t>
  </si>
  <si>
    <t>arxiv</t>
  </si>
  <si>
    <t>citation</t>
  </si>
  <si>
    <t>citeseer</t>
  </si>
  <si>
    <t>collab</t>
  </si>
  <si>
    <t>com-amazon</t>
  </si>
  <si>
    <t>cora</t>
  </si>
  <si>
    <t>DD</t>
    <phoneticPr fontId="1" type="noConversion"/>
  </si>
  <si>
    <t>ddi</t>
    <phoneticPr fontId="1" type="noConversion"/>
  </si>
  <si>
    <t>OVCAR-8H</t>
  </si>
  <si>
    <t>ppa</t>
    <phoneticPr fontId="1" type="noConversion"/>
  </si>
  <si>
    <t>ppi</t>
    <phoneticPr fontId="1" type="noConversion"/>
  </si>
  <si>
    <t>products</t>
  </si>
  <si>
    <t>protein</t>
  </si>
  <si>
    <t>PROTEINS_full</t>
  </si>
  <si>
    <t>pubmed</t>
  </si>
  <si>
    <t>reddit.dgl</t>
  </si>
  <si>
    <t>soc-BlogCatalog</t>
  </si>
  <si>
    <t>SW-620H</t>
  </si>
  <si>
    <t>TWITTER-Real-Graph-Partial</t>
  </si>
  <si>
    <t>Yeast</t>
  </si>
  <si>
    <t>#Classes</t>
    <phoneticPr fontId="1" type="noConversion"/>
  </si>
  <si>
    <t>total size</t>
    <phoneticPr fontId="1" type="noConversion"/>
  </si>
  <si>
    <t>feature size</t>
    <phoneticPr fontId="1" type="noConversion"/>
  </si>
  <si>
    <t>graph size</t>
    <phoneticPr fontId="1" type="noConversion"/>
  </si>
  <si>
    <t># Total Size</t>
    <phoneticPr fontId="1" type="noConversion"/>
  </si>
  <si>
    <t>ddi</t>
  </si>
  <si>
    <t>ppi</t>
  </si>
  <si>
    <t>DD</t>
  </si>
  <si>
    <t>ppa</t>
  </si>
  <si>
    <t>1.81E-03</t>
  </si>
  <si>
    <t>1.18E-01</t>
  </si>
  <si>
    <t>2.70E-04</t>
  </si>
  <si>
    <t>1.09E-04</t>
  </si>
  <si>
    <t>6.62E-04</t>
  </si>
  <si>
    <t>1.13E-03</t>
  </si>
  <si>
    <t>3.06E-04</t>
  </si>
  <si>
    <t>2.77E-04</t>
  </si>
  <si>
    <t>3.61E-05</t>
  </si>
  <si>
    <t>4.66E-05</t>
  </si>
  <si>
    <t>1.95E-05</t>
  </si>
  <si>
    <t>1.80E-05</t>
  </si>
  <si>
    <t>1.30E-04</t>
  </si>
  <si>
    <t>1.63E-06</t>
  </si>
  <si>
    <t>1.64E-06</t>
  </si>
  <si>
    <t>1.83E-06</t>
  </si>
  <si>
    <t>3.89E-06</t>
  </si>
  <si>
    <t>2.10E-05</t>
  </si>
  <si>
    <t>2.12E-03</t>
  </si>
  <si>
    <t>5.98E-06</t>
  </si>
  <si>
    <t>4.51E-03</t>
  </si>
  <si>
    <t>feature ratio</t>
    <phoneticPr fontId="1" type="noConversion"/>
  </si>
  <si>
    <t>mini-batch</t>
    <phoneticPr fontId="1" type="noConversion"/>
  </si>
  <si>
    <t>small</t>
    <phoneticPr fontId="1" type="noConversion"/>
  </si>
  <si>
    <t>large</t>
    <phoneticPr fontId="1" type="noConversion"/>
  </si>
  <si>
    <t>middle</t>
    <phoneticPr fontId="1" type="noConversion"/>
  </si>
  <si>
    <t>GCN</t>
    <phoneticPr fontId="1" type="noConversion"/>
  </si>
  <si>
    <t>PyG</t>
    <phoneticPr fontId="1" type="noConversion"/>
  </si>
  <si>
    <t>DGL</t>
    <phoneticPr fontId="1" type="noConversion"/>
  </si>
  <si>
    <t>pubmed</t>
    <phoneticPr fontId="1" type="noConversion"/>
  </si>
  <si>
    <t>arxiv</t>
    <phoneticPr fontId="1" type="noConversion"/>
  </si>
  <si>
    <t>collab</t>
    <phoneticPr fontId="1" type="noConversion"/>
  </si>
  <si>
    <t>protein</t>
    <phoneticPr fontId="1" type="noConversion"/>
  </si>
  <si>
    <t>执行时间</t>
    <phoneticPr fontId="1" type="noConversion"/>
  </si>
  <si>
    <t>GAT</t>
    <phoneticPr fontId="1" type="noConversion"/>
  </si>
  <si>
    <t>GIN</t>
    <phoneticPr fontId="1" type="noConversion"/>
  </si>
  <si>
    <t>GraphSAGE</t>
    <phoneticPr fontId="1" type="noConversion"/>
  </si>
  <si>
    <t>OOM</t>
  </si>
  <si>
    <t>GPU 利用率</t>
    <phoneticPr fontId="1" type="noConversion"/>
  </si>
  <si>
    <t>峰值内存</t>
    <phoneticPr fontId="1" type="noConversion"/>
  </si>
  <si>
    <t>aten::nll_loss_forward</t>
  </si>
  <si>
    <t>GSpMM</t>
  </si>
  <si>
    <t>aten::mm</t>
  </si>
  <si>
    <t>aten::mul</t>
  </si>
  <si>
    <t>aten::nll_loss_backward</t>
  </si>
  <si>
    <t>aten::scatter_add_</t>
  </si>
  <si>
    <t>aten::index_select</t>
  </si>
  <si>
    <t>OOM</t>
    <phoneticPr fontId="1" type="noConversion"/>
  </si>
  <si>
    <t>reddit.dgl</t>
    <phoneticPr fontId="1" type="noConversion"/>
  </si>
  <si>
    <t>products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</si>
</sst>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3" borderId="0" xfId="0" applyNumberFormat="1" applyFill="1"/>
    <xf numFmtId="0" fontId="0" fillId="5" borderId="0" xfId="0" applyFill="1"/>
    <xf numFmtId="0" fontId="0" fillId="6" borderId="0" xfId="0" applyFill="1"/>
    <xf numFmtId="11" fontId="0" fillId="6" borderId="0" xfId="0" applyNumberFormat="1" applyFill="1"/>
    <xf numFmtId="0" fontId="0" fillId="7" borderId="0" xfId="0" applyFill="1"/>
    <xf numFmtId="11" fontId="0" fillId="4" borderId="0" xfId="0" applyNumberFormat="1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workbookViewId="0">
      <selection activeCell="C17" sqref="C17"/>
    </sheetView>
  </sheetViews>
  <sheetFormatPr defaultRowHeight="14" x14ac:dyDescent="0.3"/>
  <cols>
    <col min="1" max="1" width="24.75" bestFit="1" customWidth="1"/>
    <col min="2" max="2" width="8.5" bestFit="1" customWidth="1"/>
    <col min="3" max="3" width="10.5" bestFit="1" customWidth="1"/>
    <col min="4" max="4" width="13.08203125" bestFit="1" customWidth="1"/>
    <col min="5" max="5" width="14.08203125" bestFit="1" customWidth="1"/>
    <col min="6" max="6" width="14.33203125" bestFit="1" customWidth="1"/>
    <col min="7" max="7" width="12.75" bestFit="1" customWidth="1"/>
    <col min="8" max="8" width="8.33203125" bestFit="1" customWidth="1"/>
    <col min="10" max="11" width="12.33203125" bestFit="1" customWidth="1"/>
    <col min="12" max="12" width="11.25" bestFit="1" customWidth="1"/>
  </cols>
  <sheetData>
    <row r="1" spans="1:16" x14ac:dyDescent="0.3"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31</v>
      </c>
      <c r="H1" t="s">
        <v>27</v>
      </c>
      <c r="J1" t="s">
        <v>28</v>
      </c>
      <c r="K1" t="s">
        <v>29</v>
      </c>
      <c r="L1" t="s">
        <v>30</v>
      </c>
    </row>
    <row r="2" spans="1:16" x14ac:dyDescent="0.3">
      <c r="A2" t="s">
        <v>5</v>
      </c>
      <c r="B2" s="1">
        <v>403394</v>
      </c>
      <c r="C2" s="1">
        <v>5478357</v>
      </c>
      <c r="D2" s="2">
        <v>3.6144961488898297E-5</v>
      </c>
      <c r="E2" s="1">
        <v>96</v>
      </c>
      <c r="F2" s="1"/>
      <c r="G2">
        <v>195.98291015625</v>
      </c>
      <c r="H2" s="1">
        <v>22</v>
      </c>
      <c r="J2">
        <v>205502976</v>
      </c>
      <c r="K2">
        <v>154903296</v>
      </c>
      <c r="L2">
        <f>J2-K2</f>
        <v>50599680</v>
      </c>
      <c r="P2">
        <v>0.75377641246421656</v>
      </c>
    </row>
    <row r="3" spans="1:16" x14ac:dyDescent="0.3">
      <c r="A3" t="s">
        <v>6</v>
      </c>
      <c r="B3">
        <v>50515</v>
      </c>
      <c r="C3">
        <v>1638396</v>
      </c>
      <c r="D3">
        <v>6.6186000000000001E-4</v>
      </c>
      <c r="E3">
        <v>100</v>
      </c>
      <c r="G3">
        <v>33.2998046875</v>
      </c>
      <c r="H3">
        <v>12</v>
      </c>
      <c r="J3">
        <v>34917376</v>
      </c>
      <c r="K3">
        <v>20206000</v>
      </c>
      <c r="L3">
        <f t="shared" ref="L3:L23" si="0">J3-K3</f>
        <v>14711376</v>
      </c>
      <c r="P3">
        <v>0.57868036819261559</v>
      </c>
    </row>
    <row r="4" spans="1:16" x14ac:dyDescent="0.3">
      <c r="A4" s="14" t="s">
        <v>7</v>
      </c>
      <c r="B4" s="14">
        <v>169343</v>
      </c>
      <c r="C4" s="14">
        <v>1166243</v>
      </c>
      <c r="D4" s="15">
        <v>4.6600000000000001E-5</v>
      </c>
      <c r="E4" s="14">
        <v>128</v>
      </c>
      <c r="F4" s="14"/>
      <c r="G4" s="14">
        <v>104.421875</v>
      </c>
      <c r="H4" s="14">
        <v>40</v>
      </c>
      <c r="I4" s="14"/>
      <c r="J4" s="14">
        <v>109494272</v>
      </c>
      <c r="K4" s="14">
        <v>86703616</v>
      </c>
      <c r="L4" s="14">
        <f t="shared" si="0"/>
        <v>22790656</v>
      </c>
      <c r="M4" t="s">
        <v>61</v>
      </c>
      <c r="P4">
        <v>0.79185526709561571</v>
      </c>
    </row>
    <row r="5" spans="1:16" x14ac:dyDescent="0.3">
      <c r="A5" s="11" t="s">
        <v>8</v>
      </c>
      <c r="B5" s="11">
        <v>2927963</v>
      </c>
      <c r="C5" s="11">
        <v>30387995</v>
      </c>
      <c r="D5" s="17">
        <v>3.89E-6</v>
      </c>
      <c r="E5" s="11">
        <v>1433</v>
      </c>
      <c r="F5" s="11"/>
      <c r="G5" s="11">
        <v>16537.05322265625</v>
      </c>
      <c r="H5" s="11">
        <v>7</v>
      </c>
      <c r="I5" s="11"/>
      <c r="J5" s="11">
        <v>17340357120</v>
      </c>
      <c r="K5" s="11">
        <v>16783083916</v>
      </c>
      <c r="L5" s="11">
        <f t="shared" si="0"/>
        <v>557273204</v>
      </c>
      <c r="P5">
        <v>0.96786264549550405</v>
      </c>
    </row>
    <row r="6" spans="1:16" x14ac:dyDescent="0.3">
      <c r="A6" t="s">
        <v>9</v>
      </c>
      <c r="B6" s="1">
        <v>3327</v>
      </c>
      <c r="C6" s="1">
        <v>9228</v>
      </c>
      <c r="D6" s="1">
        <v>1.1342560784336E-3</v>
      </c>
      <c r="E6" s="1">
        <v>3703</v>
      </c>
      <c r="F6" s="1"/>
      <c r="G6">
        <v>48.02587890625</v>
      </c>
      <c r="H6" s="1">
        <v>6</v>
      </c>
      <c r="J6">
        <v>50358784</v>
      </c>
      <c r="K6">
        <v>49279524</v>
      </c>
      <c r="L6">
        <f t="shared" si="0"/>
        <v>1079260</v>
      </c>
      <c r="P6">
        <v>0.97856858497615828</v>
      </c>
    </row>
    <row r="7" spans="1:16" x14ac:dyDescent="0.3">
      <c r="A7" s="14" t="s">
        <v>10</v>
      </c>
      <c r="B7" s="14">
        <v>235868</v>
      </c>
      <c r="C7" s="14">
        <v>2358104</v>
      </c>
      <c r="D7" s="15">
        <v>4.6600000000000001E-5</v>
      </c>
      <c r="E7" s="14">
        <v>128</v>
      </c>
      <c r="F7" s="14"/>
      <c r="G7" s="14">
        <v>157.83984375</v>
      </c>
      <c r="H7" s="14">
        <v>32</v>
      </c>
      <c r="I7" s="14"/>
      <c r="J7" s="14">
        <v>165507072</v>
      </c>
      <c r="K7" s="14">
        <v>120764416</v>
      </c>
      <c r="L7" s="14">
        <f t="shared" si="0"/>
        <v>44742656</v>
      </c>
      <c r="M7" t="s">
        <v>61</v>
      </c>
      <c r="P7">
        <v>0.72966317717227214</v>
      </c>
    </row>
    <row r="8" spans="1:16" x14ac:dyDescent="0.3">
      <c r="A8" t="s">
        <v>11</v>
      </c>
      <c r="B8">
        <v>334863</v>
      </c>
      <c r="C8">
        <v>1851744</v>
      </c>
      <c r="D8" s="3">
        <v>1.95E-5</v>
      </c>
      <c r="E8">
        <v>96</v>
      </c>
      <c r="G8">
        <v>141.8984375</v>
      </c>
      <c r="H8">
        <v>22</v>
      </c>
      <c r="J8">
        <v>148791296</v>
      </c>
      <c r="K8">
        <v>128587392</v>
      </c>
      <c r="L8">
        <f t="shared" si="0"/>
        <v>20203904</v>
      </c>
      <c r="P8">
        <v>0.86421313246710341</v>
      </c>
    </row>
    <row r="9" spans="1:16" x14ac:dyDescent="0.3">
      <c r="A9" s="11" t="s">
        <v>12</v>
      </c>
      <c r="B9" s="11">
        <v>2708</v>
      </c>
      <c r="C9" s="11">
        <v>10556</v>
      </c>
      <c r="D9" s="11">
        <v>1.8087439999999999E-3</v>
      </c>
      <c r="E9" s="11">
        <v>1433</v>
      </c>
      <c r="F9" s="11"/>
      <c r="G9" s="11">
        <v>15.27880859375</v>
      </c>
      <c r="H9" s="11">
        <v>7</v>
      </c>
      <c r="I9" s="11"/>
      <c r="J9" s="11">
        <v>16020992</v>
      </c>
      <c r="K9" s="11">
        <v>15522256</v>
      </c>
      <c r="L9" s="11">
        <f t="shared" si="0"/>
        <v>498736</v>
      </c>
      <c r="P9">
        <v>0.96886984276629062</v>
      </c>
    </row>
    <row r="10" spans="1:16" x14ac:dyDescent="0.3">
      <c r="A10" s="14" t="s">
        <v>13</v>
      </c>
      <c r="B10" s="14">
        <v>334925</v>
      </c>
      <c r="C10" s="14">
        <v>1686092</v>
      </c>
      <c r="D10" s="15">
        <v>1.8E-5</v>
      </c>
      <c r="E10" s="14">
        <v>89</v>
      </c>
      <c r="F10" s="14"/>
      <c r="G10" s="14">
        <v>131.9990234375</v>
      </c>
      <c r="H10" s="14">
        <v>32</v>
      </c>
      <c r="I10" s="14"/>
      <c r="J10" s="14">
        <v>138411008</v>
      </c>
      <c r="K10" s="14">
        <v>119233300</v>
      </c>
      <c r="L10" s="14">
        <f t="shared" si="0"/>
        <v>19177708</v>
      </c>
      <c r="M10" t="s">
        <v>61</v>
      </c>
      <c r="P10">
        <v>0.86144376609120565</v>
      </c>
    </row>
    <row r="11" spans="1:16" x14ac:dyDescent="0.3">
      <c r="A11" t="s">
        <v>14</v>
      </c>
      <c r="B11" s="1">
        <v>4267</v>
      </c>
      <c r="C11" s="1">
        <v>2135822</v>
      </c>
      <c r="D11" s="1">
        <v>0.117540233474626</v>
      </c>
      <c r="E11" s="1">
        <v>512</v>
      </c>
      <c r="F11" s="1"/>
      <c r="G11">
        <v>41.15576171875</v>
      </c>
      <c r="H11" s="1">
        <v>2</v>
      </c>
      <c r="J11">
        <v>43154944</v>
      </c>
      <c r="K11">
        <v>8738816</v>
      </c>
      <c r="L11">
        <f t="shared" si="0"/>
        <v>34416128</v>
      </c>
      <c r="P11">
        <v>0.2024986059534685</v>
      </c>
    </row>
    <row r="12" spans="1:16" x14ac:dyDescent="0.3">
      <c r="A12" t="s">
        <v>15</v>
      </c>
      <c r="B12" s="1">
        <v>1889542</v>
      </c>
      <c r="C12" s="1">
        <v>3946402</v>
      </c>
      <c r="D12" s="2">
        <v>1.63454927191621E-6</v>
      </c>
      <c r="E12" s="1">
        <v>66</v>
      </c>
      <c r="F12" s="1"/>
      <c r="G12">
        <v>534.95947265625</v>
      </c>
      <c r="H12" s="1">
        <v>2</v>
      </c>
      <c r="J12">
        <v>560945664</v>
      </c>
      <c r="K12">
        <v>498839088</v>
      </c>
      <c r="L12">
        <f t="shared" si="0"/>
        <v>62106576</v>
      </c>
      <c r="P12">
        <v>0.8892823672846859</v>
      </c>
    </row>
    <row r="13" spans="1:16" x14ac:dyDescent="0.3">
      <c r="A13" s="13" t="s">
        <v>16</v>
      </c>
      <c r="B13" s="13">
        <v>576289</v>
      </c>
      <c r="C13" s="13">
        <v>42463862</v>
      </c>
      <c r="D13" s="13">
        <v>1.29596E-4</v>
      </c>
      <c r="E13" s="13">
        <v>58</v>
      </c>
      <c r="F13" s="13"/>
      <c r="G13" s="13">
        <v>789.1572265625</v>
      </c>
      <c r="H13" s="13">
        <v>16</v>
      </c>
      <c r="I13" s="13"/>
      <c r="J13" s="13">
        <v>827491328</v>
      </c>
      <c r="K13" s="13">
        <v>133699048</v>
      </c>
      <c r="L13" s="13">
        <f t="shared" si="0"/>
        <v>693792280</v>
      </c>
      <c r="M13" t="s">
        <v>60</v>
      </c>
      <c r="P13">
        <v>0.16157153975636587</v>
      </c>
    </row>
    <row r="14" spans="1:16" x14ac:dyDescent="0.3">
      <c r="A14" s="16" t="s">
        <v>17</v>
      </c>
      <c r="B14" s="16">
        <v>56944</v>
      </c>
      <c r="C14" s="16">
        <v>818716</v>
      </c>
      <c r="D14" s="16">
        <v>2.7004699999999998E-4</v>
      </c>
      <c r="E14" s="16">
        <v>50</v>
      </c>
      <c r="F14" s="16"/>
      <c r="G14" s="16">
        <v>18.0205078125</v>
      </c>
      <c r="H14" s="16">
        <v>121</v>
      </c>
      <c r="I14" s="16"/>
      <c r="J14" s="16">
        <v>18895872</v>
      </c>
      <c r="K14" s="16">
        <v>11388800</v>
      </c>
      <c r="L14" s="16">
        <f t="shared" si="0"/>
        <v>7507072</v>
      </c>
      <c r="M14" t="s">
        <v>59</v>
      </c>
      <c r="P14">
        <v>0.60271365089687312</v>
      </c>
    </row>
    <row r="15" spans="1:16" x14ac:dyDescent="0.3">
      <c r="A15" s="10" t="s">
        <v>18</v>
      </c>
      <c r="B15" s="10">
        <v>2449029</v>
      </c>
      <c r="C15" s="10">
        <v>123718280</v>
      </c>
      <c r="D15" s="12">
        <v>2.0999999999999999E-5</v>
      </c>
      <c r="E15" s="10">
        <v>100</v>
      </c>
      <c r="F15" s="10"/>
      <c r="G15" s="10">
        <v>2878.11376953125</v>
      </c>
      <c r="H15" s="10">
        <v>47</v>
      </c>
      <c r="I15" s="10"/>
      <c r="J15" s="10">
        <v>3017921024</v>
      </c>
      <c r="K15" s="10">
        <v>979611600</v>
      </c>
      <c r="L15" s="10">
        <f t="shared" si="0"/>
        <v>2038309424</v>
      </c>
      <c r="M15" t="s">
        <v>58</v>
      </c>
      <c r="P15">
        <v>0.32459815621735766</v>
      </c>
    </row>
    <row r="16" spans="1:16" x14ac:dyDescent="0.3">
      <c r="A16" s="13" t="s">
        <v>19</v>
      </c>
      <c r="B16" s="13">
        <v>132534</v>
      </c>
      <c r="C16" s="13">
        <v>79122504</v>
      </c>
      <c r="D16" s="13">
        <v>4.5120330000000004E-3</v>
      </c>
      <c r="E16" s="13">
        <v>8</v>
      </c>
      <c r="F16" s="13"/>
      <c r="G16" s="13">
        <v>1214.3955078125</v>
      </c>
      <c r="H16" s="13">
        <v>2</v>
      </c>
      <c r="I16" s="13"/>
      <c r="J16" s="13">
        <v>1273385984</v>
      </c>
      <c r="K16" s="13">
        <v>4241088</v>
      </c>
      <c r="L16" s="13">
        <f t="shared" si="0"/>
        <v>1269144896</v>
      </c>
      <c r="M16" t="s">
        <v>60</v>
      </c>
      <c r="P16">
        <v>3.3305596679160557E-3</v>
      </c>
    </row>
    <row r="17" spans="1:16" x14ac:dyDescent="0.3">
      <c r="A17" t="s">
        <v>20</v>
      </c>
      <c r="B17">
        <v>43466</v>
      </c>
      <c r="C17">
        <v>162088</v>
      </c>
      <c r="D17">
        <v>1.08799E-4</v>
      </c>
      <c r="E17">
        <v>29</v>
      </c>
      <c r="G17">
        <v>6.7177734375</v>
      </c>
      <c r="H17">
        <v>2</v>
      </c>
      <c r="J17">
        <v>7044096</v>
      </c>
      <c r="K17">
        <v>5042056</v>
      </c>
      <c r="L17">
        <f t="shared" si="0"/>
        <v>2002040</v>
      </c>
      <c r="P17">
        <v>0.7157846798226486</v>
      </c>
    </row>
    <row r="18" spans="1:16" x14ac:dyDescent="0.3">
      <c r="A18" s="16" t="s">
        <v>21</v>
      </c>
      <c r="B18" s="16">
        <v>19717</v>
      </c>
      <c r="C18" s="16">
        <v>99203</v>
      </c>
      <c r="D18" s="16">
        <v>3.05896E-4</v>
      </c>
      <c r="E18" s="16">
        <v>500</v>
      </c>
      <c r="F18" s="16"/>
      <c r="G18" s="16">
        <v>39.18310546875</v>
      </c>
      <c r="H18" s="16">
        <v>3</v>
      </c>
      <c r="I18" s="16"/>
      <c r="J18" s="16">
        <v>41086464</v>
      </c>
      <c r="K18" s="16">
        <v>39434000</v>
      </c>
      <c r="L18" s="16">
        <f t="shared" si="0"/>
        <v>1652464</v>
      </c>
      <c r="M18" t="s">
        <v>59</v>
      </c>
      <c r="P18">
        <v>0.95978081735142751</v>
      </c>
    </row>
    <row r="19" spans="1:16" x14ac:dyDescent="0.3">
      <c r="A19" s="10" t="s">
        <v>22</v>
      </c>
      <c r="B19" s="10">
        <v>232965</v>
      </c>
      <c r="C19" s="10">
        <v>114615891</v>
      </c>
      <c r="D19" s="10">
        <v>2.1161439999999999E-3</v>
      </c>
      <c r="E19" s="10">
        <v>602</v>
      </c>
      <c r="F19" s="10"/>
      <c r="G19" s="10">
        <v>2289.38525390625</v>
      </c>
      <c r="H19" s="10">
        <v>50</v>
      </c>
      <c r="I19" s="10"/>
      <c r="J19" s="10">
        <v>2400594432</v>
      </c>
      <c r="K19" s="10">
        <v>560979720</v>
      </c>
      <c r="L19" s="10">
        <f t="shared" si="0"/>
        <v>1839614712</v>
      </c>
      <c r="M19" t="s">
        <v>58</v>
      </c>
      <c r="P19">
        <v>0.23368367122831019</v>
      </c>
    </row>
    <row r="20" spans="1:16" x14ac:dyDescent="0.3">
      <c r="A20" t="s">
        <v>23</v>
      </c>
      <c r="B20">
        <v>88784</v>
      </c>
      <c r="C20">
        <v>2093195</v>
      </c>
      <c r="D20">
        <v>2.7681E-4</v>
      </c>
      <c r="E20">
        <v>128</v>
      </c>
      <c r="G20">
        <v>61.3671875</v>
      </c>
      <c r="H20">
        <v>39</v>
      </c>
      <c r="J20">
        <v>64348160</v>
      </c>
      <c r="K20">
        <v>45457408</v>
      </c>
      <c r="L20">
        <f t="shared" si="0"/>
        <v>18890752</v>
      </c>
      <c r="P20">
        <v>0.70642902609802671</v>
      </c>
    </row>
    <row r="21" spans="1:16" x14ac:dyDescent="0.3">
      <c r="A21" t="s">
        <v>24</v>
      </c>
      <c r="B21">
        <v>1888584</v>
      </c>
      <c r="C21">
        <v>3944206</v>
      </c>
      <c r="D21" s="3">
        <v>1.64E-6</v>
      </c>
      <c r="E21">
        <v>66</v>
      </c>
      <c r="G21">
        <v>534.927734375</v>
      </c>
      <c r="H21">
        <v>2</v>
      </c>
      <c r="J21">
        <v>560912384</v>
      </c>
      <c r="K21">
        <v>498586176</v>
      </c>
      <c r="L21">
        <f t="shared" si="0"/>
        <v>62326208</v>
      </c>
      <c r="P21">
        <v>0.88888423615193346</v>
      </c>
    </row>
    <row r="22" spans="1:16" x14ac:dyDescent="0.3">
      <c r="A22" t="s">
        <v>25</v>
      </c>
      <c r="B22">
        <v>580768</v>
      </c>
      <c r="C22">
        <v>1435116</v>
      </c>
      <c r="D22" s="3">
        <v>5.9800000000000003E-6</v>
      </c>
      <c r="E22">
        <v>1323</v>
      </c>
      <c r="G22">
        <v>2952.13671875</v>
      </c>
      <c r="H22">
        <v>2</v>
      </c>
      <c r="J22">
        <v>3095539712</v>
      </c>
      <c r="K22">
        <v>3073424256</v>
      </c>
      <c r="L22">
        <f t="shared" si="0"/>
        <v>22115456</v>
      </c>
      <c r="P22">
        <v>0.99285570270209478</v>
      </c>
    </row>
    <row r="23" spans="1:16" x14ac:dyDescent="0.3">
      <c r="A23" t="s">
        <v>26</v>
      </c>
      <c r="B23">
        <v>1710902</v>
      </c>
      <c r="C23">
        <v>3636546</v>
      </c>
      <c r="D23" s="3">
        <v>1.8300000000000001E-6</v>
      </c>
      <c r="E23">
        <v>74</v>
      </c>
      <c r="G23">
        <v>537.7841796875</v>
      </c>
      <c r="H23">
        <v>2</v>
      </c>
      <c r="J23">
        <v>563907584</v>
      </c>
      <c r="K23">
        <v>506426992</v>
      </c>
      <c r="L23">
        <f t="shared" si="0"/>
        <v>57480592</v>
      </c>
      <c r="P23">
        <v>0.89806735424221573</v>
      </c>
    </row>
    <row r="41" spans="1:11" ht="15" x14ac:dyDescent="0.3">
      <c r="A41" s="4"/>
      <c r="B41" s="6" t="s">
        <v>0</v>
      </c>
      <c r="C41" s="6" t="s">
        <v>1</v>
      </c>
      <c r="D41" s="6" t="s">
        <v>3</v>
      </c>
      <c r="E41" s="6" t="s">
        <v>2</v>
      </c>
      <c r="F41" s="6" t="s">
        <v>4</v>
      </c>
      <c r="G41" s="6" t="s">
        <v>31</v>
      </c>
      <c r="H41" s="6" t="s">
        <v>27</v>
      </c>
      <c r="K41" s="6" t="s">
        <v>57</v>
      </c>
    </row>
    <row r="42" spans="1:11" x14ac:dyDescent="0.3">
      <c r="A42" s="7" t="s">
        <v>12</v>
      </c>
      <c r="B42" s="8">
        <v>2708</v>
      </c>
      <c r="C42" s="8">
        <v>10556</v>
      </c>
      <c r="D42" s="8" t="s">
        <v>36</v>
      </c>
      <c r="E42" s="8">
        <v>1433</v>
      </c>
      <c r="F42" s="8">
        <v>1</v>
      </c>
      <c r="G42" s="9">
        <v>15.27</v>
      </c>
      <c r="H42" s="8">
        <v>7</v>
      </c>
      <c r="I42" s="9" t="str">
        <f>TEXT(D42,"0.00E+00")</f>
        <v>1.81E-03</v>
      </c>
      <c r="J42" s="9"/>
      <c r="K42" s="9">
        <v>0.96886984276629062</v>
      </c>
    </row>
    <row r="43" spans="1:11" x14ac:dyDescent="0.3">
      <c r="A43" s="7" t="s">
        <v>32</v>
      </c>
      <c r="B43" s="8">
        <v>4267</v>
      </c>
      <c r="C43" s="8">
        <v>2135822</v>
      </c>
      <c r="D43" s="8" t="s">
        <v>37</v>
      </c>
      <c r="E43" s="8">
        <v>512</v>
      </c>
      <c r="F43" s="8">
        <v>0.99999908454417596</v>
      </c>
      <c r="G43" s="9">
        <v>41.15</v>
      </c>
      <c r="H43" s="8">
        <v>2</v>
      </c>
      <c r="I43" s="9" t="str">
        <f t="shared" ref="I43:I68" si="1">TEXT(D43,"0.00E+00")</f>
        <v>1.18E-01</v>
      </c>
      <c r="J43" s="9"/>
      <c r="K43" s="9">
        <v>0.2024986059534685</v>
      </c>
    </row>
    <row r="44" spans="1:11" x14ac:dyDescent="0.3">
      <c r="A44" s="5" t="s">
        <v>33</v>
      </c>
      <c r="B44" s="4">
        <v>56944</v>
      </c>
      <c r="C44" s="4">
        <v>818716</v>
      </c>
      <c r="D44" s="4" t="s">
        <v>38</v>
      </c>
      <c r="E44" s="4">
        <v>50</v>
      </c>
      <c r="F44" s="4">
        <v>1</v>
      </c>
      <c r="G44">
        <v>18.02</v>
      </c>
      <c r="H44" s="4">
        <v>121</v>
      </c>
      <c r="I44" t="str">
        <f t="shared" si="1"/>
        <v>2.70E-04</v>
      </c>
      <c r="K44">
        <v>0.60271365089687312</v>
      </c>
    </row>
    <row r="45" spans="1:11" x14ac:dyDescent="0.3">
      <c r="A45" s="5" t="s">
        <v>20</v>
      </c>
      <c r="B45" s="4">
        <v>43466</v>
      </c>
      <c r="C45" s="4">
        <v>162088</v>
      </c>
      <c r="D45" s="4" t="s">
        <v>39</v>
      </c>
      <c r="E45" s="4">
        <v>29</v>
      </c>
      <c r="F45" s="4">
        <v>1</v>
      </c>
      <c r="G45">
        <v>6.71</v>
      </c>
      <c r="H45" s="4">
        <v>2</v>
      </c>
      <c r="I45" t="str">
        <f>TEXT(D45,"0.00E+00")</f>
        <v>1.09E-04</v>
      </c>
      <c r="K45">
        <v>0.7157846798226486</v>
      </c>
    </row>
    <row r="46" spans="1:11" x14ac:dyDescent="0.3">
      <c r="A46" s="5" t="s">
        <v>6</v>
      </c>
      <c r="B46" s="4">
        <v>50515</v>
      </c>
      <c r="C46" s="4">
        <v>1638396</v>
      </c>
      <c r="D46" s="4" t="s">
        <v>40</v>
      </c>
      <c r="E46" s="4">
        <v>100</v>
      </c>
      <c r="F46" s="4">
        <v>1</v>
      </c>
      <c r="G46" s="4">
        <v>33.29</v>
      </c>
      <c r="H46" s="4">
        <v>12</v>
      </c>
      <c r="I46" t="str">
        <f>TEXT(D46,"0.00E+00")</f>
        <v>6.62E-04</v>
      </c>
      <c r="K46">
        <v>0.57868036819261559</v>
      </c>
    </row>
    <row r="47" spans="1:11" x14ac:dyDescent="0.3">
      <c r="A47" t="s">
        <v>9</v>
      </c>
      <c r="B47">
        <v>3327</v>
      </c>
      <c r="C47">
        <v>9228</v>
      </c>
      <c r="D47" t="s">
        <v>41</v>
      </c>
      <c r="E47">
        <v>3703</v>
      </c>
      <c r="F47" s="4">
        <v>1</v>
      </c>
      <c r="G47">
        <v>48.02</v>
      </c>
      <c r="H47">
        <v>6</v>
      </c>
      <c r="I47" t="str">
        <f>TEXT(D47,"0.00E+00")</f>
        <v>1.13E-03</v>
      </c>
      <c r="K47">
        <v>0.97856858497615828</v>
      </c>
    </row>
    <row r="48" spans="1:11" x14ac:dyDescent="0.3">
      <c r="A48" t="s">
        <v>21</v>
      </c>
      <c r="B48">
        <v>19717</v>
      </c>
      <c r="C48">
        <v>99203</v>
      </c>
      <c r="D48" t="s">
        <v>42</v>
      </c>
      <c r="E48">
        <v>500</v>
      </c>
      <c r="F48" s="4">
        <v>1</v>
      </c>
      <c r="G48">
        <v>39.18</v>
      </c>
      <c r="H48">
        <v>3</v>
      </c>
      <c r="I48" t="str">
        <f>TEXT(D48,"0.00E+00")</f>
        <v>3.06E-04</v>
      </c>
      <c r="K48">
        <v>0.95978081735142751</v>
      </c>
    </row>
    <row r="49" spans="1:11" x14ac:dyDescent="0.3">
      <c r="A49" t="s">
        <v>23</v>
      </c>
      <c r="B49">
        <v>88784</v>
      </c>
      <c r="C49">
        <v>2093195</v>
      </c>
      <c r="D49" t="s">
        <v>43</v>
      </c>
      <c r="E49">
        <v>128</v>
      </c>
      <c r="F49">
        <v>0.99999991200554095</v>
      </c>
      <c r="G49">
        <v>61.36</v>
      </c>
      <c r="H49">
        <v>39</v>
      </c>
      <c r="I49" t="str">
        <f>TEXT(D49,"0.00E+00")</f>
        <v>2.77E-04</v>
      </c>
      <c r="K49">
        <v>0.70642902609802671</v>
      </c>
    </row>
    <row r="54" spans="1:11" x14ac:dyDescent="0.3">
      <c r="B54" t="s">
        <v>0</v>
      </c>
      <c r="C54" t="s">
        <v>1</v>
      </c>
      <c r="D54" t="s">
        <v>3</v>
      </c>
      <c r="E54" t="s">
        <v>2</v>
      </c>
      <c r="F54" t="s">
        <v>4</v>
      </c>
      <c r="G54" t="s">
        <v>31</v>
      </c>
      <c r="H54" t="s">
        <v>27</v>
      </c>
    </row>
    <row r="55" spans="1:11" x14ac:dyDescent="0.3">
      <c r="A55" t="s">
        <v>5</v>
      </c>
      <c r="B55">
        <v>403394</v>
      </c>
      <c r="C55">
        <v>5478357</v>
      </c>
      <c r="D55" t="s">
        <v>44</v>
      </c>
      <c r="E55">
        <v>96</v>
      </c>
      <c r="F55">
        <v>0.99999979341950196</v>
      </c>
      <c r="G55">
        <v>195.98000000000002</v>
      </c>
      <c r="H55">
        <v>22</v>
      </c>
      <c r="I55" t="str">
        <f t="shared" si="1"/>
        <v>3.61E-05</v>
      </c>
      <c r="K55">
        <v>0.75377641246421656</v>
      </c>
    </row>
    <row r="56" spans="1:11" x14ac:dyDescent="0.3">
      <c r="A56" t="s">
        <v>7</v>
      </c>
      <c r="B56">
        <v>169343</v>
      </c>
      <c r="C56">
        <v>1166243</v>
      </c>
      <c r="D56" t="s">
        <v>45</v>
      </c>
      <c r="E56">
        <v>128</v>
      </c>
      <c r="F56">
        <v>0.99999981546328998</v>
      </c>
      <c r="G56">
        <v>104.42</v>
      </c>
      <c r="H56">
        <v>40</v>
      </c>
      <c r="I56" t="str">
        <f t="shared" si="1"/>
        <v>4.66E-05</v>
      </c>
      <c r="K56">
        <v>0.79185526709561571</v>
      </c>
    </row>
    <row r="57" spans="1:11" x14ac:dyDescent="0.3">
      <c r="A57" t="s">
        <v>10</v>
      </c>
      <c r="B57">
        <v>235868</v>
      </c>
      <c r="C57">
        <v>2358104</v>
      </c>
      <c r="D57" t="s">
        <v>45</v>
      </c>
      <c r="E57">
        <v>128</v>
      </c>
      <c r="F57">
        <v>0.999999801265962</v>
      </c>
      <c r="G57">
        <v>157.83000000000001</v>
      </c>
      <c r="H57">
        <v>32</v>
      </c>
      <c r="I57" t="str">
        <f t="shared" si="1"/>
        <v>4.66E-05</v>
      </c>
      <c r="K57">
        <v>0.72966317717227214</v>
      </c>
    </row>
    <row r="58" spans="1:11" x14ac:dyDescent="0.3">
      <c r="A58" t="s">
        <v>11</v>
      </c>
      <c r="B58">
        <v>334863</v>
      </c>
      <c r="C58">
        <v>1851744</v>
      </c>
      <c r="D58" t="s">
        <v>46</v>
      </c>
      <c r="E58">
        <v>96</v>
      </c>
      <c r="F58">
        <v>0.999999968892751</v>
      </c>
      <c r="G58">
        <v>141.89000000000001</v>
      </c>
      <c r="H58">
        <v>22</v>
      </c>
      <c r="I58" t="str">
        <f t="shared" si="1"/>
        <v>1.95E-05</v>
      </c>
      <c r="K58">
        <v>0.86421313246710341</v>
      </c>
    </row>
    <row r="59" spans="1:11" x14ac:dyDescent="0.3">
      <c r="A59" s="9" t="s">
        <v>34</v>
      </c>
      <c r="B59" s="9">
        <v>334925</v>
      </c>
      <c r="C59" s="9">
        <v>1686092</v>
      </c>
      <c r="D59" s="9" t="s">
        <v>47</v>
      </c>
      <c r="E59" s="9">
        <v>89</v>
      </c>
      <c r="F59" s="9">
        <v>1</v>
      </c>
      <c r="G59" s="9">
        <v>131.99</v>
      </c>
      <c r="H59" s="9">
        <v>32</v>
      </c>
      <c r="I59" s="9" t="str">
        <f t="shared" si="1"/>
        <v>1.80E-05</v>
      </c>
      <c r="J59" s="9"/>
      <c r="K59" s="9">
        <v>0.86144376609120565</v>
      </c>
    </row>
    <row r="60" spans="1:11" x14ac:dyDescent="0.3">
      <c r="A60" s="9" t="s">
        <v>35</v>
      </c>
      <c r="B60" s="9">
        <v>576289</v>
      </c>
      <c r="C60" s="9">
        <v>42463862</v>
      </c>
      <c r="D60" s="9" t="s">
        <v>48</v>
      </c>
      <c r="E60" s="9">
        <v>58</v>
      </c>
      <c r="F60" s="9">
        <v>0.99999982049236402</v>
      </c>
      <c r="G60" s="9">
        <v>789.15</v>
      </c>
      <c r="H60" s="9">
        <v>16</v>
      </c>
      <c r="I60" s="9" t="str">
        <f t="shared" si="1"/>
        <v>1.30E-04</v>
      </c>
      <c r="J60" s="9"/>
      <c r="K60" s="9">
        <v>0.16157153975636587</v>
      </c>
    </row>
    <row r="61" spans="1:11" x14ac:dyDescent="0.3">
      <c r="A61" t="s">
        <v>15</v>
      </c>
      <c r="B61">
        <v>1889542</v>
      </c>
      <c r="C61">
        <v>3946402</v>
      </c>
      <c r="D61" t="s">
        <v>49</v>
      </c>
      <c r="E61">
        <v>66</v>
      </c>
      <c r="F61">
        <v>0.99999995188829305</v>
      </c>
      <c r="G61">
        <v>534.95000000000005</v>
      </c>
      <c r="H61">
        <v>2</v>
      </c>
      <c r="I61" t="str">
        <f>TEXT(D61,"0.00E+00")</f>
        <v>1.63E-06</v>
      </c>
      <c r="K61">
        <v>0.8892823672846859</v>
      </c>
    </row>
    <row r="62" spans="1:11" x14ac:dyDescent="0.3">
      <c r="A62" t="s">
        <v>24</v>
      </c>
      <c r="B62">
        <v>1888584</v>
      </c>
      <c r="C62">
        <v>3944206</v>
      </c>
      <c r="D62" t="s">
        <v>50</v>
      </c>
      <c r="E62">
        <v>66</v>
      </c>
      <c r="F62">
        <v>0.99999994384120205</v>
      </c>
      <c r="G62">
        <v>534.91999999999996</v>
      </c>
      <c r="H62">
        <v>2</v>
      </c>
      <c r="I62" t="str">
        <f>TEXT(D62,"0.00E+00")</f>
        <v>1.64E-06</v>
      </c>
      <c r="K62">
        <v>0.88888423615193346</v>
      </c>
    </row>
    <row r="63" spans="1:11" x14ac:dyDescent="0.3">
      <c r="A63" t="s">
        <v>26</v>
      </c>
      <c r="B63">
        <v>1710902</v>
      </c>
      <c r="C63">
        <v>3636546</v>
      </c>
      <c r="D63" t="s">
        <v>51</v>
      </c>
      <c r="E63">
        <v>74</v>
      </c>
      <c r="F63">
        <v>0.99999983413206295</v>
      </c>
      <c r="G63">
        <v>537.78</v>
      </c>
      <c r="H63">
        <v>2</v>
      </c>
      <c r="I63" t="str">
        <f>TEXT(D63,"0.00E+00")</f>
        <v>1.83E-06</v>
      </c>
      <c r="K63">
        <v>0.89806735424221573</v>
      </c>
    </row>
    <row r="67" spans="1:11" x14ac:dyDescent="0.3">
      <c r="B67" t="s">
        <v>0</v>
      </c>
      <c r="C67" t="s">
        <v>1</v>
      </c>
      <c r="D67" t="s">
        <v>3</v>
      </c>
      <c r="E67" t="s">
        <v>2</v>
      </c>
      <c r="F67" t="s">
        <v>4</v>
      </c>
      <c r="G67" t="s">
        <v>31</v>
      </c>
      <c r="H67" t="s">
        <v>27</v>
      </c>
    </row>
    <row r="68" spans="1:11" x14ac:dyDescent="0.3">
      <c r="A68" t="s">
        <v>8</v>
      </c>
      <c r="B68">
        <v>2927963</v>
      </c>
      <c r="C68">
        <v>30387995</v>
      </c>
      <c r="D68" t="s">
        <v>52</v>
      </c>
      <c r="E68">
        <v>1433</v>
      </c>
      <c r="F68">
        <v>0.99999991491432605</v>
      </c>
      <c r="G68">
        <v>16.14</v>
      </c>
      <c r="H68">
        <v>7</v>
      </c>
      <c r="I68" t="str">
        <f t="shared" si="1"/>
        <v>3.89E-06</v>
      </c>
      <c r="K68">
        <v>0.96786264549550405</v>
      </c>
    </row>
    <row r="69" spans="1:11" x14ac:dyDescent="0.3">
      <c r="A69" t="s">
        <v>18</v>
      </c>
      <c r="B69">
        <v>2449029</v>
      </c>
      <c r="C69">
        <v>123718280</v>
      </c>
      <c r="D69" t="s">
        <v>53</v>
      </c>
      <c r="E69">
        <v>100</v>
      </c>
      <c r="F69">
        <v>0.99999988975222398</v>
      </c>
      <c r="G69">
        <v>2.81</v>
      </c>
      <c r="H69">
        <v>47</v>
      </c>
      <c r="I69" t="str">
        <f>TEXT(D69,"0.00E+00")</f>
        <v>2.10E-05</v>
      </c>
      <c r="K69">
        <v>0.32459815621735766</v>
      </c>
    </row>
    <row r="70" spans="1:11" x14ac:dyDescent="0.3">
      <c r="A70" t="s">
        <v>22</v>
      </c>
      <c r="B70">
        <v>232965</v>
      </c>
      <c r="C70">
        <v>114615891</v>
      </c>
      <c r="D70" t="s">
        <v>54</v>
      </c>
      <c r="E70">
        <v>602</v>
      </c>
      <c r="F70">
        <v>0.99999983600120101</v>
      </c>
      <c r="G70">
        <v>2.23</v>
      </c>
      <c r="H70">
        <v>50</v>
      </c>
      <c r="I70" t="str">
        <f>TEXT(D70,"0.00E+00")</f>
        <v>2.12E-03</v>
      </c>
      <c r="K70">
        <v>0.23368367122831019</v>
      </c>
    </row>
    <row r="71" spans="1:11" x14ac:dyDescent="0.3">
      <c r="A71" s="9" t="s">
        <v>25</v>
      </c>
      <c r="B71" s="9">
        <v>580768</v>
      </c>
      <c r="C71" s="9">
        <v>1435116</v>
      </c>
      <c r="D71" s="9" t="s">
        <v>55</v>
      </c>
      <c r="E71" s="9">
        <v>1323</v>
      </c>
      <c r="F71" s="9">
        <v>0.99999988546976504</v>
      </c>
      <c r="G71" s="9">
        <v>2.88</v>
      </c>
      <c r="H71" s="9">
        <v>2</v>
      </c>
      <c r="I71" s="9" t="str">
        <f>TEXT(D71,"0.00E+00")</f>
        <v>5.98E-06</v>
      </c>
      <c r="J71" s="9"/>
      <c r="K71" s="9">
        <v>0.99285570270209478</v>
      </c>
    </row>
    <row r="72" spans="1:11" x14ac:dyDescent="0.3">
      <c r="A72" s="7" t="s">
        <v>19</v>
      </c>
      <c r="B72" s="8">
        <v>132534</v>
      </c>
      <c r="C72" s="8">
        <v>79122504</v>
      </c>
      <c r="D72" s="8" t="s">
        <v>56</v>
      </c>
      <c r="E72" s="8">
        <v>8</v>
      </c>
      <c r="F72" s="8">
        <v>1</v>
      </c>
      <c r="G72" s="9">
        <v>1.18</v>
      </c>
      <c r="H72" s="8">
        <v>2</v>
      </c>
      <c r="I72" s="9" t="str">
        <f>TEXT(D72,"0.00E+00")</f>
        <v>4.51E-03</v>
      </c>
      <c r="J72" s="9"/>
      <c r="K72" s="9">
        <v>3.3305596679160557E-3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F3982-F443-4618-8C80-762348FEF2A2}">
  <dimension ref="A1:Q34"/>
  <sheetViews>
    <sheetView topLeftCell="A13" workbookViewId="0">
      <selection activeCell="Q28" sqref="Q28"/>
    </sheetView>
  </sheetViews>
  <sheetFormatPr defaultRowHeight="14" x14ac:dyDescent="0.3"/>
  <sheetData>
    <row r="1" spans="1:17" x14ac:dyDescent="0.3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">
      <c r="B2" s="18" t="s">
        <v>70</v>
      </c>
      <c r="C2" s="18"/>
      <c r="D2" s="18"/>
      <c r="F2" s="18" t="s">
        <v>62</v>
      </c>
      <c r="G2" s="18"/>
      <c r="H2" s="18"/>
      <c r="J2" s="18" t="s">
        <v>71</v>
      </c>
      <c r="K2" s="18"/>
      <c r="L2" s="18"/>
      <c r="N2" s="18" t="s">
        <v>72</v>
      </c>
      <c r="O2" s="18"/>
      <c r="P2" s="18"/>
    </row>
    <row r="3" spans="1:17" x14ac:dyDescent="0.3">
      <c r="C3" t="s">
        <v>64</v>
      </c>
      <c r="D3" t="s">
        <v>63</v>
      </c>
      <c r="G3" t="s">
        <v>64</v>
      </c>
      <c r="H3" t="s">
        <v>63</v>
      </c>
      <c r="K3" t="s">
        <v>64</v>
      </c>
      <c r="L3" t="s">
        <v>63</v>
      </c>
      <c r="O3" t="s">
        <v>64</v>
      </c>
      <c r="P3" t="s">
        <v>63</v>
      </c>
    </row>
    <row r="4" spans="1:17" x14ac:dyDescent="0.3">
      <c r="B4" t="s">
        <v>65</v>
      </c>
      <c r="C4">
        <v>15.092374</v>
      </c>
      <c r="D4">
        <v>13.550203</v>
      </c>
      <c r="E4" s="19">
        <f>(D4-C4)/C4+1</f>
        <v>0.89781786483690373</v>
      </c>
      <c r="F4" t="s">
        <v>65</v>
      </c>
      <c r="G4">
        <v>14.469217</v>
      </c>
      <c r="H4">
        <v>12.041539</v>
      </c>
      <c r="I4" s="19">
        <f>(H4-G4)/G4 + 1</f>
        <v>0.83221773507163521</v>
      </c>
      <c r="J4" t="s">
        <v>65</v>
      </c>
      <c r="K4">
        <v>13.757761</v>
      </c>
      <c r="L4">
        <v>11.99183</v>
      </c>
      <c r="M4" s="19">
        <f>(L4-K4)/K4 + 1</f>
        <v>0.87164110497340375</v>
      </c>
      <c r="N4" t="s">
        <v>65</v>
      </c>
      <c r="O4">
        <v>14.509902</v>
      </c>
      <c r="P4">
        <v>12.21461</v>
      </c>
      <c r="Q4" s="19">
        <f>(P4-O4)/O4 + 1</f>
        <v>0.84181202602195382</v>
      </c>
    </row>
    <row r="5" spans="1:17" x14ac:dyDescent="0.3">
      <c r="B5" t="s">
        <v>17</v>
      </c>
      <c r="C5">
        <v>16.202964000000001</v>
      </c>
      <c r="D5">
        <v>17.559011000000002</v>
      </c>
      <c r="E5" s="19">
        <f t="shared" ref="E5:E8" si="0">(D5-C5)/C5+1</f>
        <v>1.0836912925314159</v>
      </c>
      <c r="F5" t="s">
        <v>17</v>
      </c>
      <c r="G5">
        <v>14.208467000000001</v>
      </c>
      <c r="H5">
        <v>13.1654</v>
      </c>
      <c r="I5" s="19">
        <f t="shared" ref="I5:I10" si="1">(H5-G5)/G5 + 1</f>
        <v>0.92658835045328958</v>
      </c>
      <c r="J5" t="s">
        <v>17</v>
      </c>
      <c r="K5">
        <v>13.930844</v>
      </c>
      <c r="L5">
        <v>11.98762</v>
      </c>
      <c r="M5" s="19">
        <f t="shared" ref="M5:M10" si="2">(L5-K5)/K5 + 1</f>
        <v>0.86050924122041705</v>
      </c>
      <c r="N5" t="s">
        <v>17</v>
      </c>
      <c r="O5">
        <v>14.295907</v>
      </c>
      <c r="P5">
        <v>12.247431000000001</v>
      </c>
      <c r="Q5" s="19">
        <f t="shared" ref="Q5:Q10" si="3">(P5-O5)/O5 + 1</f>
        <v>0.85670891675498451</v>
      </c>
    </row>
    <row r="6" spans="1:17" x14ac:dyDescent="0.3">
      <c r="B6" t="s">
        <v>66</v>
      </c>
      <c r="C6">
        <v>19.330152999999999</v>
      </c>
      <c r="D6">
        <v>17.738755000000001</v>
      </c>
      <c r="E6" s="19">
        <f t="shared" si="0"/>
        <v>0.91767276751508386</v>
      </c>
      <c r="F6" t="s">
        <v>66</v>
      </c>
      <c r="G6">
        <v>15.19567</v>
      </c>
      <c r="H6">
        <v>13.217991</v>
      </c>
      <c r="I6" s="19">
        <f t="shared" si="1"/>
        <v>0.86985246455075682</v>
      </c>
      <c r="J6" t="s">
        <v>66</v>
      </c>
      <c r="K6">
        <v>14.786546</v>
      </c>
      <c r="L6">
        <v>13.773723</v>
      </c>
      <c r="M6" s="19">
        <f t="shared" si="2"/>
        <v>0.93150374671677894</v>
      </c>
      <c r="N6" t="s">
        <v>66</v>
      </c>
      <c r="O6">
        <v>14.939961</v>
      </c>
      <c r="P6">
        <v>13.033353</v>
      </c>
      <c r="Q6" s="19">
        <f t="shared" si="3"/>
        <v>0.87238199617790169</v>
      </c>
    </row>
    <row r="7" spans="1:17" x14ac:dyDescent="0.3">
      <c r="B7" t="s">
        <v>13</v>
      </c>
      <c r="C7">
        <v>18.698352</v>
      </c>
      <c r="D7">
        <v>20.590147999999999</v>
      </c>
      <c r="E7" s="19">
        <f t="shared" si="0"/>
        <v>1.1011744778363355</v>
      </c>
      <c r="F7" t="s">
        <v>13</v>
      </c>
      <c r="G7">
        <v>16.177582000000001</v>
      </c>
      <c r="H7">
        <v>14.83934</v>
      </c>
      <c r="I7" s="19">
        <f t="shared" si="1"/>
        <v>0.91727799618014605</v>
      </c>
      <c r="J7" t="s">
        <v>13</v>
      </c>
      <c r="K7">
        <v>16.158973</v>
      </c>
      <c r="L7">
        <v>14.199558</v>
      </c>
      <c r="M7" s="19">
        <f t="shared" si="2"/>
        <v>0.87874136555584315</v>
      </c>
      <c r="N7" t="s">
        <v>13</v>
      </c>
      <c r="O7">
        <v>16.376515000000001</v>
      </c>
      <c r="P7">
        <v>14.955569000000001</v>
      </c>
      <c r="Q7" s="19">
        <f t="shared" si="3"/>
        <v>0.91323269938689644</v>
      </c>
    </row>
    <row r="8" spans="1:17" x14ac:dyDescent="0.3">
      <c r="B8" t="s">
        <v>67</v>
      </c>
      <c r="C8">
        <v>17.799496999999999</v>
      </c>
      <c r="D8">
        <v>21.007542999999998</v>
      </c>
      <c r="E8" s="19">
        <f t="shared" si="0"/>
        <v>1.1802323964547987</v>
      </c>
      <c r="F8" t="s">
        <v>67</v>
      </c>
      <c r="G8">
        <v>15.690448999999999</v>
      </c>
      <c r="H8">
        <v>14.695827</v>
      </c>
      <c r="I8" s="19">
        <f t="shared" si="1"/>
        <v>0.93660971715978303</v>
      </c>
      <c r="J8" t="s">
        <v>67</v>
      </c>
      <c r="K8">
        <v>15.644855</v>
      </c>
      <c r="L8">
        <v>14.266416</v>
      </c>
      <c r="M8" s="19">
        <f t="shared" si="2"/>
        <v>0.91189186476959994</v>
      </c>
      <c r="N8" t="s">
        <v>67</v>
      </c>
      <c r="O8">
        <v>15.546461000000001</v>
      </c>
      <c r="P8">
        <v>13.725636</v>
      </c>
      <c r="Q8" s="19">
        <f t="shared" si="3"/>
        <v>0.88287848919442169</v>
      </c>
    </row>
    <row r="9" spans="1:17" x14ac:dyDescent="0.3">
      <c r="B9" t="s">
        <v>16</v>
      </c>
      <c r="C9">
        <v>42.575608000000003</v>
      </c>
      <c r="D9" t="s">
        <v>73</v>
      </c>
      <c r="E9" s="19"/>
      <c r="F9" t="s">
        <v>16</v>
      </c>
      <c r="G9">
        <v>21.381017</v>
      </c>
      <c r="H9">
        <v>26.714956999999998</v>
      </c>
      <c r="I9" s="19">
        <f t="shared" si="1"/>
        <v>1.2494708273231343</v>
      </c>
      <c r="J9" t="s">
        <v>16</v>
      </c>
      <c r="K9">
        <v>20.322918000000001</v>
      </c>
      <c r="L9">
        <v>27.132542999999998</v>
      </c>
      <c r="M9" s="19">
        <f t="shared" si="2"/>
        <v>1.3350712235319748</v>
      </c>
      <c r="N9" t="s">
        <v>16</v>
      </c>
      <c r="O9">
        <v>22.164622000000001</v>
      </c>
      <c r="P9">
        <v>28.088622999999998</v>
      </c>
      <c r="Q9" s="19">
        <f t="shared" si="3"/>
        <v>1.2672728188191071</v>
      </c>
    </row>
    <row r="10" spans="1:17" x14ac:dyDescent="0.3">
      <c r="B10" t="s">
        <v>68</v>
      </c>
      <c r="C10">
        <v>40.653230000000001</v>
      </c>
      <c r="D10" t="s">
        <v>73</v>
      </c>
      <c r="E10" s="19"/>
      <c r="F10" t="s">
        <v>68</v>
      </c>
      <c r="G10">
        <v>17.575427000000001</v>
      </c>
      <c r="H10">
        <v>30.646840999999998</v>
      </c>
      <c r="I10" s="19">
        <f t="shared" si="1"/>
        <v>1.7437323713386876</v>
      </c>
      <c r="J10" t="s">
        <v>68</v>
      </c>
      <c r="K10">
        <v>17.591754999999999</v>
      </c>
      <c r="L10">
        <v>21.451622</v>
      </c>
      <c r="M10" s="19">
        <f t="shared" si="2"/>
        <v>1.2194134127038492</v>
      </c>
      <c r="N10" t="s">
        <v>68</v>
      </c>
      <c r="O10">
        <v>16.822437999999998</v>
      </c>
      <c r="P10">
        <v>24.683845000000002</v>
      </c>
      <c r="Q10" s="19">
        <f t="shared" si="3"/>
        <v>1.4673167468353876</v>
      </c>
    </row>
    <row r="13" spans="1:17" x14ac:dyDescent="0.3">
      <c r="A13" s="20" t="s">
        <v>74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x14ac:dyDescent="0.3">
      <c r="B14" s="18" t="s">
        <v>70</v>
      </c>
      <c r="C14" s="18"/>
      <c r="D14" s="18"/>
      <c r="F14" s="18" t="s">
        <v>62</v>
      </c>
      <c r="G14" s="18"/>
      <c r="H14" s="18"/>
      <c r="J14" s="18" t="s">
        <v>71</v>
      </c>
      <c r="K14" s="18"/>
      <c r="L14" s="18"/>
      <c r="N14" s="18" t="s">
        <v>72</v>
      </c>
      <c r="O14" s="18"/>
      <c r="P14" s="18"/>
    </row>
    <row r="15" spans="1:17" x14ac:dyDescent="0.3">
      <c r="C15" t="s">
        <v>64</v>
      </c>
      <c r="D15" t="s">
        <v>63</v>
      </c>
      <c r="G15" t="s">
        <v>64</v>
      </c>
      <c r="H15" t="s">
        <v>63</v>
      </c>
      <c r="K15" t="s">
        <v>64</v>
      </c>
      <c r="L15" t="s">
        <v>63</v>
      </c>
      <c r="O15" t="s">
        <v>64</v>
      </c>
      <c r="P15" t="s">
        <v>63</v>
      </c>
    </row>
    <row r="16" spans="1:17" x14ac:dyDescent="0.3">
      <c r="B16" t="s">
        <v>65</v>
      </c>
      <c r="C16" s="1">
        <v>15.9333333333333</v>
      </c>
      <c r="D16" s="1">
        <v>15.0714285714285</v>
      </c>
      <c r="E16" s="19">
        <f>D16/C16</f>
        <v>0.9459055588762677</v>
      </c>
      <c r="F16" t="s">
        <v>65</v>
      </c>
      <c r="G16" s="1">
        <v>15.8</v>
      </c>
      <c r="H16" s="1">
        <v>14.9166666666666</v>
      </c>
      <c r="I16" s="19">
        <f>H16/G16</f>
        <v>0.94409282700421515</v>
      </c>
      <c r="J16" t="s">
        <v>65</v>
      </c>
      <c r="K16" s="1">
        <v>15.857142857142801</v>
      </c>
      <c r="L16" s="1">
        <v>15.8333333333333</v>
      </c>
      <c r="M16" s="19">
        <f>L16/K16</f>
        <v>0.99849849849849992</v>
      </c>
      <c r="N16" t="s">
        <v>65</v>
      </c>
      <c r="O16" s="1">
        <v>16</v>
      </c>
      <c r="P16" s="1">
        <v>18.692307692307601</v>
      </c>
      <c r="Q16" s="19">
        <f>P16/O16</f>
        <v>1.1682692307692251</v>
      </c>
    </row>
    <row r="17" spans="1:17" x14ac:dyDescent="0.3">
      <c r="B17" t="s">
        <v>17</v>
      </c>
      <c r="C17" s="1">
        <v>26.176470588235201</v>
      </c>
      <c r="D17" s="1">
        <v>34.7777777777777</v>
      </c>
      <c r="E17" s="19">
        <f t="shared" ref="E17:E19" si="4">D17/C17</f>
        <v>1.3285892634207259</v>
      </c>
      <c r="F17" t="s">
        <v>17</v>
      </c>
      <c r="G17" s="1">
        <v>18.8</v>
      </c>
      <c r="H17" s="1">
        <v>23.357142857142801</v>
      </c>
      <c r="I17" s="19">
        <f t="shared" ref="I17:I22" si="5">H17/G17</f>
        <v>1.242401215805468</v>
      </c>
      <c r="J17" t="s">
        <v>17</v>
      </c>
      <c r="K17" s="1">
        <v>16.1428571428571</v>
      </c>
      <c r="L17" s="1">
        <v>16.25</v>
      </c>
      <c r="M17" s="19">
        <f t="shared" ref="M17:M22" si="6">L17/K17</f>
        <v>1.0066371681415955</v>
      </c>
      <c r="N17" t="s">
        <v>17</v>
      </c>
      <c r="O17" s="1">
        <v>19.733333333333299</v>
      </c>
      <c r="P17" s="1">
        <v>21</v>
      </c>
      <c r="Q17" s="19">
        <f t="shared" ref="Q17:Q22" si="7">P17/O17</f>
        <v>1.064189189189191</v>
      </c>
    </row>
    <row r="18" spans="1:17" x14ac:dyDescent="0.3">
      <c r="B18" t="s">
        <v>66</v>
      </c>
      <c r="C18" s="1">
        <v>42.95</v>
      </c>
      <c r="D18" s="1">
        <v>40.3888888888888</v>
      </c>
      <c r="E18" s="19">
        <f t="shared" si="4"/>
        <v>0.9403699392057927</v>
      </c>
      <c r="F18" t="s">
        <v>66</v>
      </c>
      <c r="G18" s="1">
        <v>24.3125</v>
      </c>
      <c r="H18" s="1">
        <v>27.714285714285701</v>
      </c>
      <c r="I18" s="19">
        <f t="shared" si="5"/>
        <v>1.1399192067572526</v>
      </c>
      <c r="J18" t="s">
        <v>66</v>
      </c>
      <c r="K18" s="1">
        <v>21.266666666666602</v>
      </c>
      <c r="L18" s="1">
        <v>20.928571428571399</v>
      </c>
      <c r="M18" s="19">
        <f t="shared" si="6"/>
        <v>0.98410210479176152</v>
      </c>
      <c r="N18" t="s">
        <v>66</v>
      </c>
      <c r="O18" s="1">
        <v>20.8666666666666</v>
      </c>
      <c r="P18" s="1">
        <v>23</v>
      </c>
      <c r="Q18" s="19">
        <f t="shared" si="7"/>
        <v>1.1022364217252432</v>
      </c>
    </row>
    <row r="19" spans="1:17" x14ac:dyDescent="0.3">
      <c r="B19" t="s">
        <v>13</v>
      </c>
      <c r="C19" s="1">
        <v>34.368421052631497</v>
      </c>
      <c r="D19" s="1">
        <v>43.190476190476097</v>
      </c>
      <c r="E19" s="19">
        <f t="shared" si="4"/>
        <v>1.2566907314227378</v>
      </c>
      <c r="F19" t="s">
        <v>13</v>
      </c>
      <c r="G19" s="1">
        <v>29</v>
      </c>
      <c r="H19" s="1">
        <v>30.3333333333333</v>
      </c>
      <c r="I19" s="19">
        <f t="shared" si="5"/>
        <v>1.0459770114942517</v>
      </c>
      <c r="J19" t="s">
        <v>13</v>
      </c>
      <c r="K19" s="1">
        <v>31.823529411764699</v>
      </c>
      <c r="L19" s="1">
        <v>33.266666666666602</v>
      </c>
      <c r="M19" s="19">
        <f t="shared" si="6"/>
        <v>1.0453481207640154</v>
      </c>
      <c r="N19" t="s">
        <v>13</v>
      </c>
      <c r="O19" s="1">
        <v>30</v>
      </c>
      <c r="P19" s="1">
        <v>25.6666666666666</v>
      </c>
      <c r="Q19" s="19">
        <f t="shared" si="7"/>
        <v>0.85555555555555329</v>
      </c>
    </row>
    <row r="20" spans="1:17" x14ac:dyDescent="0.3">
      <c r="B20" t="s">
        <v>67</v>
      </c>
      <c r="C20" s="1">
        <v>36.3333333333333</v>
      </c>
      <c r="D20" s="1">
        <v>44.095238095238003</v>
      </c>
      <c r="E20" s="19">
        <f>D20/C20</f>
        <v>1.2136304062909553</v>
      </c>
      <c r="F20" t="s">
        <v>67</v>
      </c>
      <c r="G20" s="1">
        <v>24.4375</v>
      </c>
      <c r="H20" s="1">
        <v>26.733333333333299</v>
      </c>
      <c r="I20" s="19">
        <f t="shared" si="5"/>
        <v>1.0939471440750199</v>
      </c>
      <c r="J20" t="s">
        <v>67</v>
      </c>
      <c r="K20" s="1">
        <v>24.625</v>
      </c>
      <c r="L20" s="1">
        <v>31.066666666666599</v>
      </c>
      <c r="M20" s="19">
        <f t="shared" si="6"/>
        <v>1.2615905245346841</v>
      </c>
      <c r="N20" t="s">
        <v>67</v>
      </c>
      <c r="O20" s="1">
        <v>25.25</v>
      </c>
      <c r="P20" s="1">
        <v>29.285714285714199</v>
      </c>
      <c r="Q20" s="19">
        <f t="shared" si="7"/>
        <v>1.1598302687411564</v>
      </c>
    </row>
    <row r="21" spans="1:17" x14ac:dyDescent="0.3">
      <c r="B21" t="s">
        <v>16</v>
      </c>
      <c r="C21" s="1">
        <v>72.395348837209298</v>
      </c>
      <c r="D21" s="1" t="s">
        <v>73</v>
      </c>
      <c r="E21" s="19"/>
      <c r="F21" t="s">
        <v>16</v>
      </c>
      <c r="G21" s="1">
        <v>42.136363636363598</v>
      </c>
      <c r="H21" s="1">
        <v>61.148148148148103</v>
      </c>
      <c r="I21" s="19">
        <f t="shared" si="5"/>
        <v>1.4511966119301614</v>
      </c>
      <c r="J21" t="s">
        <v>16</v>
      </c>
      <c r="K21" s="1">
        <v>43.285714285714199</v>
      </c>
      <c r="L21" s="1">
        <v>65.964285714285694</v>
      </c>
      <c r="M21" s="19">
        <f t="shared" si="6"/>
        <v>1.5239273927392765</v>
      </c>
      <c r="N21" t="s">
        <v>16</v>
      </c>
      <c r="O21" s="1">
        <v>45.086956521739097</v>
      </c>
      <c r="P21" s="1">
        <v>64.392857142857096</v>
      </c>
      <c r="Q21" s="19">
        <f t="shared" si="7"/>
        <v>1.4281925885108142</v>
      </c>
    </row>
    <row r="22" spans="1:17" x14ac:dyDescent="0.3">
      <c r="B22" t="s">
        <v>68</v>
      </c>
      <c r="C22" s="1">
        <v>74.048780487804805</v>
      </c>
      <c r="D22" s="1" t="s">
        <v>73</v>
      </c>
      <c r="E22" s="19"/>
      <c r="F22" t="s">
        <v>68</v>
      </c>
      <c r="G22" s="1">
        <v>31.5555555555555</v>
      </c>
      <c r="H22" s="1">
        <v>66.096774193548299</v>
      </c>
      <c r="I22" s="19">
        <f t="shared" si="5"/>
        <v>2.0946160835983654</v>
      </c>
      <c r="J22" t="s">
        <v>68</v>
      </c>
      <c r="K22" s="1">
        <v>33.6666666666666</v>
      </c>
      <c r="L22" s="1">
        <v>60.363636363636303</v>
      </c>
      <c r="M22" s="19">
        <f t="shared" si="6"/>
        <v>1.7929792979297947</v>
      </c>
      <c r="N22" t="s">
        <v>68</v>
      </c>
      <c r="O22" s="1">
        <v>31.235294117647001</v>
      </c>
      <c r="P22" s="1">
        <v>61.44</v>
      </c>
      <c r="Q22" s="19">
        <f t="shared" si="7"/>
        <v>1.9670056497175177</v>
      </c>
    </row>
    <row r="25" spans="1:17" x14ac:dyDescent="0.3">
      <c r="A25" s="20" t="s">
        <v>75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x14ac:dyDescent="0.3">
      <c r="B26" s="18" t="s">
        <v>70</v>
      </c>
      <c r="C26" s="18"/>
      <c r="D26" s="18"/>
      <c r="F26" s="18" t="s">
        <v>62</v>
      </c>
      <c r="G26" s="18"/>
      <c r="H26" s="18"/>
      <c r="J26" s="18" t="s">
        <v>71</v>
      </c>
      <c r="K26" s="18"/>
      <c r="L26" s="18"/>
      <c r="N26" s="18" t="s">
        <v>72</v>
      </c>
      <c r="O26" s="18"/>
      <c r="P26" s="18"/>
    </row>
    <row r="27" spans="1:17" x14ac:dyDescent="0.3">
      <c r="C27" t="s">
        <v>64</v>
      </c>
      <c r="D27" t="s">
        <v>63</v>
      </c>
      <c r="G27" t="s">
        <v>64</v>
      </c>
      <c r="H27" t="s">
        <v>63</v>
      </c>
      <c r="K27" t="s">
        <v>64</v>
      </c>
      <c r="L27" t="s">
        <v>63</v>
      </c>
      <c r="O27" t="s">
        <v>64</v>
      </c>
      <c r="P27" t="s">
        <v>63</v>
      </c>
    </row>
    <row r="28" spans="1:17" x14ac:dyDescent="0.3">
      <c r="B28" t="s">
        <v>65</v>
      </c>
      <c r="C28">
        <v>67.732421880000004</v>
      </c>
      <c r="D28">
        <v>177.83984380000001</v>
      </c>
      <c r="E28" s="19">
        <f>C28/D28</f>
        <v>0.38086190604267728</v>
      </c>
      <c r="F28" t="s">
        <v>65</v>
      </c>
      <c r="G28">
        <v>83.896484380000004</v>
      </c>
      <c r="H28">
        <v>60.1640625</v>
      </c>
      <c r="I28" s="19">
        <f>G28/H28</f>
        <v>1.3944617582963252</v>
      </c>
      <c r="J28" t="s">
        <v>65</v>
      </c>
      <c r="K28">
        <v>154.93164060000001</v>
      </c>
      <c r="L28">
        <v>268.02148440000002</v>
      </c>
      <c r="M28" s="19">
        <f>K28/L28</f>
        <v>0.57805679625584516</v>
      </c>
      <c r="N28" t="s">
        <v>65</v>
      </c>
      <c r="O28">
        <v>45.947265629999997</v>
      </c>
      <c r="P28">
        <v>268.61914059999998</v>
      </c>
      <c r="Q28" s="19">
        <f>O28/P28</f>
        <v>0.17104985715973212</v>
      </c>
    </row>
    <row r="29" spans="1:17" x14ac:dyDescent="0.3">
      <c r="B29" t="s">
        <v>17</v>
      </c>
      <c r="C29">
        <v>733.45996090000006</v>
      </c>
      <c r="D29">
        <v>6905</v>
      </c>
      <c r="E29" s="19">
        <f t="shared" ref="E29:E32" si="8">C29/D29</f>
        <v>0.10622157290369298</v>
      </c>
      <c r="F29" t="s">
        <v>17</v>
      </c>
      <c r="G29">
        <v>154.12207029999999</v>
      </c>
      <c r="H29">
        <v>923</v>
      </c>
      <c r="I29" s="19">
        <f t="shared" ref="I29:I34" si="9">G29/H29</f>
        <v>0.1669794911159263</v>
      </c>
      <c r="J29" t="s">
        <v>17</v>
      </c>
      <c r="K29">
        <v>153.47167970000001</v>
      </c>
      <c r="L29">
        <v>217.1416016</v>
      </c>
      <c r="M29" s="19">
        <f t="shared" ref="M29:M34" si="10">K29/L29</f>
        <v>0.70678155898800377</v>
      </c>
      <c r="N29" t="s">
        <v>17</v>
      </c>
      <c r="O29">
        <v>144.19824220000001</v>
      </c>
      <c r="P29">
        <v>220.58105470000001</v>
      </c>
      <c r="Q29" s="19">
        <f t="shared" ref="Q29:Q34" si="11">O29/P29</f>
        <v>0.6537199778834859</v>
      </c>
    </row>
    <row r="30" spans="1:17" x14ac:dyDescent="0.3">
      <c r="B30" t="s">
        <v>66</v>
      </c>
      <c r="C30">
        <v>876</v>
      </c>
      <c r="D30">
        <v>4227</v>
      </c>
      <c r="E30" s="19">
        <f t="shared" si="8"/>
        <v>0.20723917672107878</v>
      </c>
      <c r="F30" t="s">
        <v>66</v>
      </c>
      <c r="G30">
        <v>351.77929690000002</v>
      </c>
      <c r="H30">
        <v>648.85058590000006</v>
      </c>
      <c r="I30" s="19">
        <f t="shared" si="9"/>
        <v>0.54215763157870644</v>
      </c>
      <c r="J30" t="s">
        <v>66</v>
      </c>
      <c r="K30">
        <v>413.93945309999998</v>
      </c>
      <c r="L30">
        <v>780</v>
      </c>
      <c r="M30" s="19">
        <f t="shared" si="10"/>
        <v>0.53069160653846148</v>
      </c>
      <c r="N30" t="s">
        <v>66</v>
      </c>
      <c r="O30">
        <v>268.07226559999998</v>
      </c>
      <c r="P30">
        <v>785</v>
      </c>
      <c r="Q30" s="19">
        <f t="shared" si="11"/>
        <v>0.34149333197452225</v>
      </c>
    </row>
    <row r="31" spans="1:17" x14ac:dyDescent="0.3">
      <c r="B31" t="s">
        <v>13</v>
      </c>
      <c r="C31">
        <v>1345</v>
      </c>
      <c r="D31">
        <v>5450</v>
      </c>
      <c r="E31" s="19">
        <f t="shared" si="8"/>
        <v>0.24678899082568809</v>
      </c>
      <c r="F31" t="s">
        <v>13</v>
      </c>
      <c r="G31">
        <v>482.0068359</v>
      </c>
      <c r="H31">
        <v>856</v>
      </c>
      <c r="I31" s="19">
        <f t="shared" si="9"/>
        <v>0.56309209801401872</v>
      </c>
      <c r="J31" t="s">
        <v>13</v>
      </c>
      <c r="K31">
        <v>541.32910159999994</v>
      </c>
      <c r="L31">
        <v>869</v>
      </c>
      <c r="M31" s="19">
        <f t="shared" si="10"/>
        <v>0.62293337353279621</v>
      </c>
      <c r="N31" t="s">
        <v>13</v>
      </c>
      <c r="O31">
        <v>366.76074219999998</v>
      </c>
      <c r="P31">
        <v>878</v>
      </c>
      <c r="Q31" s="19">
        <f t="shared" si="11"/>
        <v>0.41772294100227786</v>
      </c>
    </row>
    <row r="32" spans="1:17" x14ac:dyDescent="0.3">
      <c r="B32" t="s">
        <v>67</v>
      </c>
      <c r="C32">
        <v>1159</v>
      </c>
      <c r="D32">
        <v>6672</v>
      </c>
      <c r="E32" s="19">
        <f t="shared" si="8"/>
        <v>0.17371103117505995</v>
      </c>
      <c r="F32" t="s">
        <v>67</v>
      </c>
      <c r="G32">
        <v>492.10546879999998</v>
      </c>
      <c r="H32">
        <v>987</v>
      </c>
      <c r="I32" s="19">
        <f t="shared" si="9"/>
        <v>0.49858710111448834</v>
      </c>
      <c r="J32" t="s">
        <v>67</v>
      </c>
      <c r="K32">
        <v>606.22265630000004</v>
      </c>
      <c r="L32">
        <v>1450</v>
      </c>
      <c r="M32" s="19">
        <f t="shared" si="10"/>
        <v>0.41808459055172414</v>
      </c>
      <c r="N32" t="s">
        <v>67</v>
      </c>
      <c r="O32">
        <v>375.24414059999998</v>
      </c>
      <c r="P32">
        <v>1460</v>
      </c>
      <c r="Q32" s="19">
        <f t="shared" si="11"/>
        <v>0.25701653465753421</v>
      </c>
    </row>
    <row r="33" spans="2:17" x14ac:dyDescent="0.3">
      <c r="B33" t="s">
        <v>16</v>
      </c>
      <c r="C33">
        <v>8791</v>
      </c>
      <c r="D33" t="s">
        <v>73</v>
      </c>
      <c r="E33" s="19"/>
      <c r="F33" t="s">
        <v>16</v>
      </c>
      <c r="G33">
        <v>3250</v>
      </c>
      <c r="H33">
        <v>7816</v>
      </c>
      <c r="I33" s="19">
        <f t="shared" si="9"/>
        <v>0.41581371545547596</v>
      </c>
      <c r="J33" t="s">
        <v>16</v>
      </c>
      <c r="K33">
        <v>3356</v>
      </c>
      <c r="L33">
        <v>10339</v>
      </c>
      <c r="M33" s="19">
        <f t="shared" si="10"/>
        <v>0.32459618918657512</v>
      </c>
      <c r="N33" t="s">
        <v>16</v>
      </c>
      <c r="O33">
        <v>3232</v>
      </c>
      <c r="P33">
        <v>10504</v>
      </c>
      <c r="Q33" s="19">
        <f t="shared" si="11"/>
        <v>0.30769230769230771</v>
      </c>
    </row>
    <row r="34" spans="2:17" x14ac:dyDescent="0.3">
      <c r="B34" t="s">
        <v>68</v>
      </c>
      <c r="C34">
        <v>14884</v>
      </c>
      <c r="D34" t="s">
        <v>73</v>
      </c>
      <c r="E34" s="19"/>
      <c r="F34" t="s">
        <v>68</v>
      </c>
      <c r="G34">
        <v>5450</v>
      </c>
      <c r="H34">
        <v>12418</v>
      </c>
      <c r="I34" s="19">
        <f t="shared" si="9"/>
        <v>0.43887904654533744</v>
      </c>
      <c r="J34" t="s">
        <v>68</v>
      </c>
      <c r="K34">
        <v>5480</v>
      </c>
      <c r="L34">
        <v>6073</v>
      </c>
      <c r="M34" s="19">
        <f t="shared" si="10"/>
        <v>0.90235468466985014</v>
      </c>
      <c r="N34" t="s">
        <v>68</v>
      </c>
      <c r="O34">
        <v>5465</v>
      </c>
      <c r="P34">
        <v>6367</v>
      </c>
      <c r="Q34" s="19">
        <f t="shared" si="11"/>
        <v>0.85833202450133506</v>
      </c>
    </row>
  </sheetData>
  <mergeCells count="15">
    <mergeCell ref="A1:Q1"/>
    <mergeCell ref="A13:Q13"/>
    <mergeCell ref="B26:D26"/>
    <mergeCell ref="F26:H26"/>
    <mergeCell ref="J26:L26"/>
    <mergeCell ref="N26:P26"/>
    <mergeCell ref="B2:D2"/>
    <mergeCell ref="F2:H2"/>
    <mergeCell ref="J2:L2"/>
    <mergeCell ref="N2:P2"/>
    <mergeCell ref="B14:D14"/>
    <mergeCell ref="F14:H14"/>
    <mergeCell ref="J14:L14"/>
    <mergeCell ref="N14:P14"/>
    <mergeCell ref="A25:Q25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C298A-A375-4475-872A-A9949B92A098}">
  <dimension ref="A1:Q46"/>
  <sheetViews>
    <sheetView tabSelected="1" topLeftCell="A16" workbookViewId="0">
      <selection activeCell="Q28" sqref="Q28:Q34"/>
    </sheetView>
  </sheetViews>
  <sheetFormatPr defaultRowHeight="14" x14ac:dyDescent="0.3"/>
  <sheetData>
    <row r="1" spans="1:17" x14ac:dyDescent="0.3">
      <c r="A1" s="20" t="s">
        <v>69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3">
      <c r="B2" s="18" t="s">
        <v>70</v>
      </c>
      <c r="C2" s="18"/>
      <c r="D2" s="18"/>
      <c r="F2" s="18" t="s">
        <v>62</v>
      </c>
      <c r="G2" s="18"/>
      <c r="H2" s="18"/>
      <c r="J2" s="18" t="s">
        <v>71</v>
      </c>
      <c r="K2" s="18"/>
      <c r="L2" s="18"/>
      <c r="N2" s="18" t="s">
        <v>72</v>
      </c>
      <c r="O2" s="18"/>
      <c r="P2" s="18"/>
    </row>
    <row r="3" spans="1:17" x14ac:dyDescent="0.3">
      <c r="C3" t="s">
        <v>64</v>
      </c>
      <c r="D3" t="s">
        <v>63</v>
      </c>
      <c r="G3" t="s">
        <v>64</v>
      </c>
      <c r="H3" t="s">
        <v>63</v>
      </c>
      <c r="K3" t="s">
        <v>64</v>
      </c>
      <c r="L3" t="s">
        <v>63</v>
      </c>
      <c r="O3" t="s">
        <v>64</v>
      </c>
      <c r="P3" t="s">
        <v>63</v>
      </c>
    </row>
    <row r="4" spans="1:17" x14ac:dyDescent="0.3">
      <c r="B4" t="s">
        <v>65</v>
      </c>
      <c r="C4" s="1">
        <v>15.208792000000001</v>
      </c>
      <c r="D4" s="1">
        <v>13.729898</v>
      </c>
      <c r="E4" s="19">
        <f>(D4-C4)/C4+1</f>
        <v>0.90276058742863996</v>
      </c>
      <c r="F4" t="s">
        <v>65</v>
      </c>
      <c r="G4" s="1">
        <v>14.517423000000001</v>
      </c>
      <c r="H4" s="1">
        <v>12.266999</v>
      </c>
      <c r="I4" s="19">
        <f>(H4-G4)/G4 + 1</f>
        <v>0.84498460918304852</v>
      </c>
      <c r="J4" t="s">
        <v>65</v>
      </c>
      <c r="K4" s="1">
        <v>14.53102</v>
      </c>
      <c r="L4" s="1">
        <v>16.241690999999999</v>
      </c>
      <c r="M4" s="19">
        <f>(L4-K4)/K4 + 1</f>
        <v>1.117725459052427</v>
      </c>
      <c r="N4" t="s">
        <v>65</v>
      </c>
      <c r="O4" s="1">
        <v>15.515307</v>
      </c>
      <c r="P4" s="1">
        <v>11.422461</v>
      </c>
      <c r="Q4" s="19">
        <f>(P4-O4)/O4 + 1</f>
        <v>0.73620592876441315</v>
      </c>
    </row>
    <row r="5" spans="1:17" x14ac:dyDescent="0.3">
      <c r="B5" t="s">
        <v>17</v>
      </c>
      <c r="C5" s="1">
        <v>18.209624999999999</v>
      </c>
      <c r="D5" s="1">
        <v>22.212016999999999</v>
      </c>
      <c r="E5" s="19">
        <f t="shared" ref="E5:E8" si="0">(D5-C5)/C5+1</f>
        <v>1.2197954103942283</v>
      </c>
      <c r="F5" t="s">
        <v>17</v>
      </c>
      <c r="G5" s="1">
        <v>14.777059</v>
      </c>
      <c r="H5" s="1">
        <v>13.881983999999999</v>
      </c>
      <c r="I5" s="19">
        <f t="shared" ref="I5:I10" si="1">(H5-G5)/G5 + 1</f>
        <v>0.93942806887351538</v>
      </c>
      <c r="J5" t="s">
        <v>17</v>
      </c>
      <c r="K5" s="1">
        <v>14.184051</v>
      </c>
      <c r="L5" s="1">
        <v>14.660691</v>
      </c>
      <c r="M5" s="19">
        <f t="shared" ref="M5:M10" si="2">(L5-K5)/K5 + 1</f>
        <v>1.0336039400873558</v>
      </c>
      <c r="N5" t="s">
        <v>17</v>
      </c>
      <c r="O5" s="1">
        <v>14.785280999999999</v>
      </c>
      <c r="P5" s="1">
        <v>12.331837999999999</v>
      </c>
      <c r="Q5" s="19">
        <f t="shared" ref="Q5:Q10" si="3">(P5-O5)/O5 + 1</f>
        <v>0.83406179429393323</v>
      </c>
    </row>
    <row r="6" spans="1:17" x14ac:dyDescent="0.3">
      <c r="B6" t="s">
        <v>66</v>
      </c>
      <c r="C6" s="1">
        <v>22.580597000000001</v>
      </c>
      <c r="D6" s="1">
        <v>25.457032999999999</v>
      </c>
      <c r="E6" s="19">
        <f t="shared" si="0"/>
        <v>1.1273852945517782</v>
      </c>
      <c r="F6" t="s">
        <v>66</v>
      </c>
      <c r="G6" s="1">
        <v>15.465902</v>
      </c>
      <c r="H6" s="1">
        <v>13.849401</v>
      </c>
      <c r="I6" s="19">
        <f t="shared" si="1"/>
        <v>0.89547968168943526</v>
      </c>
      <c r="J6" t="s">
        <v>66</v>
      </c>
      <c r="K6" s="1">
        <v>15.338169000000001</v>
      </c>
      <c r="L6" s="1">
        <v>13.229067000000001</v>
      </c>
      <c r="M6" s="19">
        <f t="shared" si="2"/>
        <v>0.86249323501390551</v>
      </c>
      <c r="N6" t="s">
        <v>66</v>
      </c>
      <c r="O6" s="1">
        <v>15.360752</v>
      </c>
      <c r="P6" s="1">
        <v>13.996309</v>
      </c>
      <c r="Q6" s="19">
        <f t="shared" si="3"/>
        <v>0.91117342432193427</v>
      </c>
    </row>
    <row r="7" spans="1:17" x14ac:dyDescent="0.3">
      <c r="B7" t="s">
        <v>13</v>
      </c>
      <c r="C7" s="1">
        <v>21.239046999999999</v>
      </c>
      <c r="D7" s="1">
        <v>23.742225999999999</v>
      </c>
      <c r="E7" s="19">
        <f t="shared" si="0"/>
        <v>1.1178574066906108</v>
      </c>
      <c r="F7" t="s">
        <v>13</v>
      </c>
      <c r="G7" s="1">
        <v>17.013082000000001</v>
      </c>
      <c r="H7" s="1">
        <v>15.698409</v>
      </c>
      <c r="I7" s="19">
        <f t="shared" si="1"/>
        <v>0.92272575891893072</v>
      </c>
      <c r="J7" t="s">
        <v>13</v>
      </c>
      <c r="K7" s="1">
        <v>16.776682999999998</v>
      </c>
      <c r="L7" s="1">
        <v>15.696254</v>
      </c>
      <c r="M7" s="19">
        <f t="shared" si="2"/>
        <v>0.93559936728851589</v>
      </c>
      <c r="N7" t="s">
        <v>13</v>
      </c>
      <c r="O7" s="1">
        <v>16.797049000000001</v>
      </c>
      <c r="P7" s="1">
        <v>14.764284999999999</v>
      </c>
      <c r="Q7" s="19">
        <f t="shared" si="3"/>
        <v>0.87898088527335949</v>
      </c>
    </row>
    <row r="8" spans="1:17" x14ac:dyDescent="0.3">
      <c r="B8" t="s">
        <v>67</v>
      </c>
      <c r="C8" s="1">
        <v>20.734445999999998</v>
      </c>
      <c r="D8" s="1">
        <v>23.573927999999999</v>
      </c>
      <c r="E8" s="19">
        <f t="shared" si="0"/>
        <v>1.136945158795176</v>
      </c>
      <c r="F8" t="s">
        <v>67</v>
      </c>
      <c r="G8" s="1">
        <v>17.207566</v>
      </c>
      <c r="H8" s="1">
        <v>16.621158999999999</v>
      </c>
      <c r="I8" s="19">
        <f t="shared" si="1"/>
        <v>0.96592156031829246</v>
      </c>
      <c r="J8" t="s">
        <v>67</v>
      </c>
      <c r="K8" s="1">
        <v>18.188887000000001</v>
      </c>
      <c r="L8" s="1">
        <v>14.025038</v>
      </c>
      <c r="M8" s="19">
        <f t="shared" si="2"/>
        <v>0.77107730670931096</v>
      </c>
      <c r="N8" t="s">
        <v>67</v>
      </c>
      <c r="O8" s="1">
        <v>18.683399000000001</v>
      </c>
      <c r="P8" s="1">
        <v>14.574156</v>
      </c>
      <c r="Q8" s="19">
        <f t="shared" si="3"/>
        <v>0.78005913163873442</v>
      </c>
    </row>
    <row r="9" spans="1:17" x14ac:dyDescent="0.3">
      <c r="B9" t="s">
        <v>16</v>
      </c>
      <c r="C9" s="1">
        <v>54.553269999999998</v>
      </c>
      <c r="D9" s="1" t="s">
        <v>73</v>
      </c>
      <c r="E9" s="19"/>
      <c r="F9" t="s">
        <v>16</v>
      </c>
      <c r="G9" s="1">
        <v>23.044219999999999</v>
      </c>
      <c r="H9" s="1">
        <v>34.398558999999999</v>
      </c>
      <c r="I9" s="19">
        <f t="shared" si="1"/>
        <v>1.492719606044379</v>
      </c>
      <c r="J9" t="s">
        <v>16</v>
      </c>
      <c r="K9" s="1">
        <v>23.342638999999998</v>
      </c>
      <c r="L9" s="1">
        <v>34.017972999999998</v>
      </c>
      <c r="M9" s="19">
        <f t="shared" si="2"/>
        <v>1.4573319237811972</v>
      </c>
      <c r="N9" t="s">
        <v>16</v>
      </c>
      <c r="O9" s="1">
        <v>22.934228999999998</v>
      </c>
      <c r="P9" s="1">
        <v>34.736280999999998</v>
      </c>
      <c r="Q9" s="19">
        <f t="shared" si="3"/>
        <v>1.5146042624759699</v>
      </c>
    </row>
    <row r="10" spans="1:17" x14ac:dyDescent="0.3">
      <c r="B10" t="s">
        <v>68</v>
      </c>
      <c r="C10" s="1">
        <v>59.352851000000001</v>
      </c>
      <c r="D10" s="1" t="s">
        <v>73</v>
      </c>
      <c r="E10" s="19"/>
      <c r="F10" t="s">
        <v>68</v>
      </c>
      <c r="G10" s="1">
        <v>19.023050999999999</v>
      </c>
      <c r="H10" s="1">
        <v>42.126092999999997</v>
      </c>
      <c r="I10" s="19">
        <f t="shared" si="1"/>
        <v>2.2144761636816304</v>
      </c>
      <c r="J10" t="s">
        <v>68</v>
      </c>
      <c r="K10" s="1">
        <v>20.163148</v>
      </c>
      <c r="L10" s="1">
        <v>29.076284000000001</v>
      </c>
      <c r="M10" s="19">
        <f t="shared" si="2"/>
        <v>1.4420508146842943</v>
      </c>
      <c r="N10" t="s">
        <v>68</v>
      </c>
      <c r="O10" s="1">
        <v>20.367660000000001</v>
      </c>
      <c r="P10" s="1">
        <v>33.541592999999999</v>
      </c>
      <c r="Q10" s="19">
        <f t="shared" si="3"/>
        <v>1.6468064078053146</v>
      </c>
    </row>
    <row r="13" spans="1:17" x14ac:dyDescent="0.3">
      <c r="A13" s="20" t="s">
        <v>74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</row>
    <row r="14" spans="1:17" x14ac:dyDescent="0.3">
      <c r="B14" s="18" t="s">
        <v>70</v>
      </c>
      <c r="C14" s="18"/>
      <c r="D14" s="18"/>
      <c r="F14" s="18" t="s">
        <v>62</v>
      </c>
      <c r="G14" s="18"/>
      <c r="H14" s="18"/>
      <c r="J14" s="18" t="s">
        <v>71</v>
      </c>
      <c r="K14" s="18"/>
      <c r="L14" s="18"/>
      <c r="N14" s="18" t="s">
        <v>72</v>
      </c>
      <c r="O14" s="18"/>
      <c r="P14" s="18"/>
    </row>
    <row r="15" spans="1:17" x14ac:dyDescent="0.3">
      <c r="C15" t="s">
        <v>64</v>
      </c>
      <c r="D15" t="s">
        <v>63</v>
      </c>
      <c r="G15" t="s">
        <v>64</v>
      </c>
      <c r="H15" t="s">
        <v>63</v>
      </c>
      <c r="K15" t="s">
        <v>64</v>
      </c>
      <c r="L15" t="s">
        <v>63</v>
      </c>
      <c r="O15" t="s">
        <v>64</v>
      </c>
      <c r="P15" t="s">
        <v>63</v>
      </c>
    </row>
    <row r="16" spans="1:17" x14ac:dyDescent="0.3">
      <c r="B16" t="s">
        <v>65</v>
      </c>
      <c r="C16" s="1">
        <v>0.135625</v>
      </c>
      <c r="D16" s="1">
        <v>0.11785714285714199</v>
      </c>
      <c r="E16" s="19">
        <f>D16/C16</f>
        <v>0.86899275839367374</v>
      </c>
      <c r="F16" t="s">
        <v>65</v>
      </c>
      <c r="G16" s="1">
        <v>0.133333333333333</v>
      </c>
      <c r="H16" s="1">
        <v>0.14461538461538401</v>
      </c>
      <c r="I16" s="19">
        <f>H16/G16</f>
        <v>1.0846153846153828</v>
      </c>
      <c r="J16" t="s">
        <v>65</v>
      </c>
      <c r="K16" s="1">
        <v>0.12866666666666601</v>
      </c>
      <c r="L16" s="1">
        <v>0.14823529411764699</v>
      </c>
      <c r="M16" s="19">
        <f>L16/K16</f>
        <v>1.1520877781164334</v>
      </c>
      <c r="N16" t="s">
        <v>65</v>
      </c>
      <c r="O16" s="1">
        <v>0.111875</v>
      </c>
      <c r="P16" s="1">
        <v>0.15333333333333299</v>
      </c>
      <c r="Q16" s="19">
        <f>P16/O16</f>
        <v>1.3705772811918033</v>
      </c>
    </row>
    <row r="17" spans="1:17" x14ac:dyDescent="0.3">
      <c r="B17" t="s">
        <v>17</v>
      </c>
      <c r="C17" s="1">
        <v>0.23777777777777701</v>
      </c>
      <c r="D17" s="1">
        <v>0.33363636363636301</v>
      </c>
      <c r="E17" s="19">
        <f t="shared" ref="E17:E20" si="4">D17/C17</f>
        <v>1.4031435853865779</v>
      </c>
      <c r="F17" t="s">
        <v>17</v>
      </c>
      <c r="G17" s="1">
        <v>0.14533333333333301</v>
      </c>
      <c r="H17" s="1">
        <v>0.16857142857142801</v>
      </c>
      <c r="I17" s="19">
        <f t="shared" ref="I17:I22" si="5">H17/G17</f>
        <v>1.1598951507208375</v>
      </c>
      <c r="J17" t="s">
        <v>17</v>
      </c>
      <c r="K17" s="1">
        <v>0.18266666666666601</v>
      </c>
      <c r="L17" s="1">
        <v>0.169333333333333</v>
      </c>
      <c r="M17" s="19">
        <f t="shared" ref="M17:M22" si="6">L17/K17</f>
        <v>0.92700729927007453</v>
      </c>
      <c r="N17" t="s">
        <v>17</v>
      </c>
      <c r="O17" s="1">
        <v>0.18</v>
      </c>
      <c r="P17" s="1">
        <v>0.18384615384615299</v>
      </c>
      <c r="Q17" s="19">
        <f t="shared" ref="Q17:Q22" si="7">P17/O17</f>
        <v>1.0213675213675166</v>
      </c>
    </row>
    <row r="18" spans="1:17" x14ac:dyDescent="0.3">
      <c r="B18" t="s">
        <v>66</v>
      </c>
      <c r="C18" s="1">
        <v>0.36695652173913001</v>
      </c>
      <c r="D18" s="1">
        <v>0.31359999999999999</v>
      </c>
      <c r="E18" s="19">
        <f t="shared" si="4"/>
        <v>0.85459715639810518</v>
      </c>
      <c r="F18" t="s">
        <v>66</v>
      </c>
      <c r="G18" s="1">
        <v>0.23250000000000001</v>
      </c>
      <c r="H18" s="1">
        <v>0.250714285714285</v>
      </c>
      <c r="I18" s="19">
        <f t="shared" si="5"/>
        <v>1.0783410138248817</v>
      </c>
      <c r="J18" t="s">
        <v>66</v>
      </c>
      <c r="K18" s="1">
        <v>0.184</v>
      </c>
      <c r="L18" s="1">
        <v>0.201538461538461</v>
      </c>
      <c r="M18" s="19">
        <f t="shared" si="6"/>
        <v>1.0953177257525055</v>
      </c>
      <c r="N18" t="s">
        <v>66</v>
      </c>
      <c r="O18" s="1">
        <v>0.22500000000000001</v>
      </c>
      <c r="P18" s="1">
        <v>0.23857142857142799</v>
      </c>
      <c r="Q18" s="19">
        <f t="shared" si="7"/>
        <v>1.0603174603174577</v>
      </c>
    </row>
    <row r="19" spans="1:17" x14ac:dyDescent="0.3">
      <c r="B19" t="s">
        <v>13</v>
      </c>
      <c r="C19" s="1">
        <v>0.315714285714285</v>
      </c>
      <c r="D19" s="1">
        <v>0.512083333333333</v>
      </c>
      <c r="E19" s="19">
        <f t="shared" si="4"/>
        <v>1.6219834087481173</v>
      </c>
      <c r="F19" t="s">
        <v>13</v>
      </c>
      <c r="G19" s="1">
        <v>0.217058823529411</v>
      </c>
      <c r="H19" s="1">
        <v>0.26500000000000001</v>
      </c>
      <c r="I19" s="19">
        <f t="shared" si="5"/>
        <v>1.2208672086720911</v>
      </c>
      <c r="J19" t="s">
        <v>13</v>
      </c>
      <c r="K19" s="1">
        <v>0.222941176470588</v>
      </c>
      <c r="L19" s="1">
        <v>0.27</v>
      </c>
      <c r="M19" s="19">
        <f t="shared" si="6"/>
        <v>1.2110817941952521</v>
      </c>
      <c r="N19" t="s">
        <v>13</v>
      </c>
      <c r="O19" s="1">
        <v>0.220588235294117</v>
      </c>
      <c r="P19" s="1">
        <v>0.30333333333333301</v>
      </c>
      <c r="Q19" s="19">
        <f t="shared" si="7"/>
        <v>1.3751111111111136</v>
      </c>
    </row>
    <row r="20" spans="1:17" x14ac:dyDescent="0.3">
      <c r="B20" t="s">
        <v>67</v>
      </c>
      <c r="C20" s="1">
        <v>0.34047619047618999</v>
      </c>
      <c r="D20" s="1">
        <v>0.49333333333333301</v>
      </c>
      <c r="E20" s="19">
        <f t="shared" si="4"/>
        <v>1.44895104895105</v>
      </c>
      <c r="F20" t="s">
        <v>67</v>
      </c>
      <c r="G20" s="1">
        <v>0.19294117647058801</v>
      </c>
      <c r="H20" s="1">
        <v>0.26411764705882301</v>
      </c>
      <c r="I20" s="19">
        <f t="shared" si="5"/>
        <v>1.3689024390243891</v>
      </c>
      <c r="J20" t="s">
        <v>67</v>
      </c>
      <c r="K20" s="1">
        <v>0.20111111111111099</v>
      </c>
      <c r="L20" s="1">
        <v>0.28357142857142797</v>
      </c>
      <c r="M20" s="19">
        <f t="shared" si="6"/>
        <v>1.410023677979477</v>
      </c>
      <c r="N20" t="s">
        <v>67</v>
      </c>
      <c r="O20" s="1">
        <v>0.198421052631578</v>
      </c>
      <c r="P20" s="1">
        <v>0.33933333333333299</v>
      </c>
      <c r="Q20" s="19">
        <f t="shared" si="7"/>
        <v>1.71016799292662</v>
      </c>
    </row>
    <row r="21" spans="1:17" x14ac:dyDescent="0.3">
      <c r="B21" t="s">
        <v>16</v>
      </c>
      <c r="C21" s="1">
        <v>0.81</v>
      </c>
      <c r="D21" s="1" t="s">
        <v>73</v>
      </c>
      <c r="E21" s="19"/>
      <c r="F21" t="s">
        <v>16</v>
      </c>
      <c r="G21" s="1">
        <v>0.41956521739130398</v>
      </c>
      <c r="H21" s="1">
        <v>0.67352941176470504</v>
      </c>
      <c r="I21" s="19">
        <f t="shared" si="5"/>
        <v>1.6053032612008529</v>
      </c>
      <c r="J21" t="s">
        <v>16</v>
      </c>
      <c r="K21" s="1">
        <v>0.43130434782608601</v>
      </c>
      <c r="L21" s="1">
        <v>0.69705882352941095</v>
      </c>
      <c r="M21" s="19">
        <f t="shared" si="6"/>
        <v>1.6161646110056942</v>
      </c>
      <c r="N21" t="s">
        <v>16</v>
      </c>
      <c r="O21" s="1">
        <v>0.49913043478260799</v>
      </c>
      <c r="P21" s="1">
        <v>0.69428571428571395</v>
      </c>
      <c r="Q21" s="19">
        <f t="shared" si="7"/>
        <v>1.3909905425584881</v>
      </c>
    </row>
    <row r="22" spans="1:17" x14ac:dyDescent="0.3">
      <c r="B22" t="s">
        <v>68</v>
      </c>
      <c r="C22" s="1">
        <v>0.769152542372881</v>
      </c>
      <c r="D22" s="1" t="s">
        <v>73</v>
      </c>
      <c r="E22" s="19"/>
      <c r="F22" t="s">
        <v>68</v>
      </c>
      <c r="G22" s="1">
        <v>0.39421052631578901</v>
      </c>
      <c r="H22" s="1">
        <v>0.75476190476190397</v>
      </c>
      <c r="I22" s="19">
        <f t="shared" si="5"/>
        <v>1.9146163138152459</v>
      </c>
      <c r="J22" t="s">
        <v>68</v>
      </c>
      <c r="K22" s="1">
        <v>0.34299999999999897</v>
      </c>
      <c r="L22" s="1">
        <v>0.64551724137930999</v>
      </c>
      <c r="M22" s="19">
        <f t="shared" si="6"/>
        <v>1.881974464662717</v>
      </c>
      <c r="N22" t="s">
        <v>68</v>
      </c>
      <c r="O22" s="1">
        <v>0.36476190476190401</v>
      </c>
      <c r="P22" s="1">
        <v>0.69852941176470595</v>
      </c>
      <c r="Q22" s="19">
        <f t="shared" si="7"/>
        <v>1.9150284134541586</v>
      </c>
    </row>
    <row r="25" spans="1:17" x14ac:dyDescent="0.3">
      <c r="A25" s="20" t="s">
        <v>75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</row>
    <row r="26" spans="1:17" x14ac:dyDescent="0.3">
      <c r="B26" s="18" t="s">
        <v>70</v>
      </c>
      <c r="C26" s="18"/>
      <c r="D26" s="18"/>
      <c r="F26" s="18" t="s">
        <v>62</v>
      </c>
      <c r="G26" s="18"/>
      <c r="H26" s="18"/>
      <c r="J26" s="18" t="s">
        <v>71</v>
      </c>
      <c r="K26" s="18"/>
      <c r="L26" s="18"/>
      <c r="N26" s="18" t="s">
        <v>72</v>
      </c>
      <c r="O26" s="18"/>
      <c r="P26" s="18"/>
    </row>
    <row r="27" spans="1:17" x14ac:dyDescent="0.3">
      <c r="C27" t="s">
        <v>64</v>
      </c>
      <c r="D27" t="s">
        <v>63</v>
      </c>
      <c r="G27" t="s">
        <v>64</v>
      </c>
      <c r="H27" t="s">
        <v>63</v>
      </c>
      <c r="K27" t="s">
        <v>64</v>
      </c>
      <c r="L27" t="s">
        <v>63</v>
      </c>
      <c r="O27" t="s">
        <v>64</v>
      </c>
      <c r="P27" t="s">
        <v>63</v>
      </c>
    </row>
    <row r="28" spans="1:17" x14ac:dyDescent="0.3">
      <c r="B28" t="s">
        <v>65</v>
      </c>
      <c r="C28" s="1">
        <v>67.732421875</v>
      </c>
      <c r="D28" s="1">
        <v>177.83984375</v>
      </c>
      <c r="E28" s="19">
        <f>D28/C28</f>
        <v>2.6256235762276883</v>
      </c>
      <c r="F28" t="s">
        <v>65</v>
      </c>
      <c r="G28" s="1">
        <v>83.896484375</v>
      </c>
      <c r="H28" s="1">
        <v>60.1640625</v>
      </c>
      <c r="I28" s="19">
        <f>H28/G28</f>
        <v>0.71712257013153302</v>
      </c>
      <c r="J28" t="s">
        <v>65</v>
      </c>
      <c r="K28" s="1">
        <v>154.931640625</v>
      </c>
      <c r="L28" s="1">
        <v>268.021484375</v>
      </c>
      <c r="M28" s="19">
        <f>L28/K28</f>
        <v>1.7299338165773717</v>
      </c>
      <c r="N28" t="s">
        <v>65</v>
      </c>
      <c r="O28" s="1">
        <v>45.947265625</v>
      </c>
      <c r="P28" s="1">
        <v>268.619140625</v>
      </c>
      <c r="Q28" s="19">
        <f>P28/O28</f>
        <v>5.8462486716259301</v>
      </c>
    </row>
    <row r="29" spans="1:17" x14ac:dyDescent="0.3">
      <c r="B29" t="s">
        <v>17</v>
      </c>
      <c r="C29" s="1">
        <v>706.9912109375</v>
      </c>
      <c r="D29" s="1">
        <v>6905</v>
      </c>
      <c r="E29" s="19">
        <f t="shared" ref="E29:E32" si="8">D29/C29</f>
        <v>9.7667409342241758</v>
      </c>
      <c r="F29" t="s">
        <v>17</v>
      </c>
      <c r="G29" s="1">
        <v>154.1220703125</v>
      </c>
      <c r="H29" s="1">
        <v>923</v>
      </c>
      <c r="I29" s="19">
        <f t="shared" ref="I29:I34" si="9">H29/G29</f>
        <v>5.9887594173145526</v>
      </c>
      <c r="J29" t="s">
        <v>17</v>
      </c>
      <c r="K29" s="1">
        <v>153.4716796875</v>
      </c>
      <c r="L29" s="1">
        <v>217.1416015625</v>
      </c>
      <c r="M29" s="19">
        <f t="shared" ref="M29:M34" si="10">L29/K29</f>
        <v>1.4148643059399955</v>
      </c>
      <c r="N29" t="s">
        <v>17</v>
      </c>
      <c r="O29" s="1">
        <v>144.1982421875</v>
      </c>
      <c r="P29" s="1">
        <v>220.5810546875</v>
      </c>
      <c r="Q29" s="19">
        <f t="shared" ref="Q29:Q34" si="11">P29/O29</f>
        <v>1.5297069599550315</v>
      </c>
    </row>
    <row r="30" spans="1:17" x14ac:dyDescent="0.3">
      <c r="B30" t="s">
        <v>66</v>
      </c>
      <c r="C30" s="1">
        <v>861</v>
      </c>
      <c r="D30" s="1">
        <v>4227</v>
      </c>
      <c r="E30" s="19">
        <f t="shared" si="8"/>
        <v>4.9094076655052268</v>
      </c>
      <c r="F30" t="s">
        <v>66</v>
      </c>
      <c r="G30" s="1">
        <v>351.779296875</v>
      </c>
      <c r="H30" s="1">
        <v>648.8505859375</v>
      </c>
      <c r="I30" s="19">
        <f t="shared" si="9"/>
        <v>1.8444820138692251</v>
      </c>
      <c r="J30" t="s">
        <v>66</v>
      </c>
      <c r="K30" s="1">
        <v>413.939453125</v>
      </c>
      <c r="L30" s="1">
        <v>780</v>
      </c>
      <c r="M30" s="19">
        <f t="shared" si="10"/>
        <v>1.8843335519517592</v>
      </c>
      <c r="N30" t="s">
        <v>66</v>
      </c>
      <c r="O30" s="1">
        <v>268.072265625</v>
      </c>
      <c r="P30" s="1">
        <v>785</v>
      </c>
      <c r="Q30" s="19">
        <f t="shared" si="11"/>
        <v>2.9283148637916838</v>
      </c>
    </row>
    <row r="31" spans="1:17" x14ac:dyDescent="0.3">
      <c r="B31" t="s">
        <v>13</v>
      </c>
      <c r="C31" s="1">
        <v>1317</v>
      </c>
      <c r="D31" s="1">
        <v>5450</v>
      </c>
      <c r="E31" s="19">
        <f t="shared" si="8"/>
        <v>4.1381928625664388</v>
      </c>
      <c r="F31" t="s">
        <v>13</v>
      </c>
      <c r="G31" s="1">
        <v>482.0068359375</v>
      </c>
      <c r="H31" s="1">
        <v>856</v>
      </c>
      <c r="I31" s="19">
        <f t="shared" si="9"/>
        <v>1.7759084232386162</v>
      </c>
      <c r="J31" t="s">
        <v>13</v>
      </c>
      <c r="K31" s="1">
        <v>541.3291015625</v>
      </c>
      <c r="L31" s="1">
        <v>869</v>
      </c>
      <c r="M31" s="19">
        <f t="shared" si="10"/>
        <v>1.6053081156946967</v>
      </c>
      <c r="N31" t="s">
        <v>13</v>
      </c>
      <c r="O31" s="1">
        <v>366.7607421875</v>
      </c>
      <c r="P31" s="1">
        <v>878</v>
      </c>
      <c r="Q31" s="19">
        <f t="shared" si="11"/>
        <v>2.39393124455817</v>
      </c>
    </row>
    <row r="32" spans="1:17" x14ac:dyDescent="0.3">
      <c r="B32" t="s">
        <v>67</v>
      </c>
      <c r="C32" s="1">
        <v>1159</v>
      </c>
      <c r="D32" s="1">
        <v>6672</v>
      </c>
      <c r="E32" s="19">
        <f t="shared" si="8"/>
        <v>5.7566867989646244</v>
      </c>
      <c r="F32" t="s">
        <v>67</v>
      </c>
      <c r="G32" s="1">
        <v>492.10546875</v>
      </c>
      <c r="H32" s="1">
        <v>987</v>
      </c>
      <c r="I32" s="19">
        <f t="shared" si="9"/>
        <v>2.0056676112685445</v>
      </c>
      <c r="J32" t="s">
        <v>67</v>
      </c>
      <c r="K32" s="1">
        <v>606.22265625</v>
      </c>
      <c r="L32" s="1">
        <v>1450</v>
      </c>
      <c r="M32" s="19">
        <f t="shared" si="10"/>
        <v>2.391860457623733</v>
      </c>
      <c r="N32" t="s">
        <v>67</v>
      </c>
      <c r="O32" s="1">
        <v>375.244140625</v>
      </c>
      <c r="P32" s="1">
        <v>1460</v>
      </c>
      <c r="Q32" s="19">
        <f t="shared" si="11"/>
        <v>3.8908002602472349</v>
      </c>
    </row>
    <row r="33" spans="2:17" x14ac:dyDescent="0.3">
      <c r="B33" t="s">
        <v>16</v>
      </c>
      <c r="C33" s="1">
        <v>8791</v>
      </c>
      <c r="D33" s="1" t="s">
        <v>73</v>
      </c>
      <c r="E33" s="19"/>
      <c r="F33" t="s">
        <v>16</v>
      </c>
      <c r="G33" s="1">
        <v>3250</v>
      </c>
      <c r="H33" s="1">
        <v>7816</v>
      </c>
      <c r="I33" s="19">
        <f t="shared" si="9"/>
        <v>2.4049230769230769</v>
      </c>
      <c r="J33" t="s">
        <v>16</v>
      </c>
      <c r="K33" s="1">
        <v>3356</v>
      </c>
      <c r="L33" s="1">
        <v>10339</v>
      </c>
      <c r="M33" s="19">
        <f t="shared" si="10"/>
        <v>3.0807508939213348</v>
      </c>
      <c r="N33" t="s">
        <v>16</v>
      </c>
      <c r="O33" s="1">
        <v>3232</v>
      </c>
      <c r="P33" s="1">
        <v>10504</v>
      </c>
      <c r="Q33" s="19">
        <f t="shared" si="11"/>
        <v>3.25</v>
      </c>
    </row>
    <row r="34" spans="2:17" x14ac:dyDescent="0.3">
      <c r="B34" t="s">
        <v>68</v>
      </c>
      <c r="C34" s="1">
        <v>14884</v>
      </c>
      <c r="D34" s="1" t="s">
        <v>73</v>
      </c>
      <c r="E34" s="19"/>
      <c r="F34" t="s">
        <v>68</v>
      </c>
      <c r="G34" s="1">
        <v>5450</v>
      </c>
      <c r="H34" s="1">
        <v>12418</v>
      </c>
      <c r="I34" s="19">
        <f t="shared" si="9"/>
        <v>2.2785321100917431</v>
      </c>
      <c r="J34" t="s">
        <v>68</v>
      </c>
      <c r="K34" s="1">
        <v>5480</v>
      </c>
      <c r="L34" s="1">
        <v>6073</v>
      </c>
      <c r="M34" s="19">
        <f t="shared" si="10"/>
        <v>1.1082116788321168</v>
      </c>
      <c r="N34" t="s">
        <v>68</v>
      </c>
      <c r="O34" s="1">
        <v>5465</v>
      </c>
      <c r="P34" s="1">
        <v>6367</v>
      </c>
      <c r="Q34" s="19">
        <f t="shared" si="11"/>
        <v>1.1650503202195792</v>
      </c>
    </row>
    <row r="40" spans="2:17" x14ac:dyDescent="0.3">
      <c r="H40" s="1"/>
      <c r="I40" s="1"/>
      <c r="J40" s="1"/>
      <c r="K40" s="1"/>
      <c r="L40" s="1"/>
      <c r="M40" s="1"/>
      <c r="N40" s="1"/>
      <c r="O40" s="1"/>
    </row>
    <row r="41" spans="2:17" x14ac:dyDescent="0.3">
      <c r="H41" s="1"/>
      <c r="I41" s="1"/>
      <c r="J41" s="1"/>
      <c r="K41" s="1"/>
      <c r="L41" s="1"/>
      <c r="M41" s="1"/>
      <c r="N41" s="1"/>
      <c r="O41" s="1"/>
    </row>
    <row r="42" spans="2:17" x14ac:dyDescent="0.3">
      <c r="H42" s="1"/>
      <c r="I42" s="1"/>
      <c r="J42" s="1"/>
      <c r="K42" s="1"/>
      <c r="L42" s="1"/>
      <c r="M42" s="1"/>
      <c r="N42" s="1"/>
      <c r="O42" s="1"/>
    </row>
    <row r="43" spans="2:17" x14ac:dyDescent="0.3">
      <c r="H43" s="1"/>
    </row>
    <row r="44" spans="2:17" x14ac:dyDescent="0.3">
      <c r="H44" s="1"/>
    </row>
    <row r="45" spans="2:17" x14ac:dyDescent="0.3">
      <c r="H45" s="1"/>
    </row>
    <row r="46" spans="2:17" x14ac:dyDescent="0.3">
      <c r="H46" s="1"/>
    </row>
  </sheetData>
  <mergeCells count="15">
    <mergeCell ref="B26:D26"/>
    <mergeCell ref="F26:H26"/>
    <mergeCell ref="J26:L26"/>
    <mergeCell ref="N26:P26"/>
    <mergeCell ref="A1:Q1"/>
    <mergeCell ref="B2:D2"/>
    <mergeCell ref="F2:H2"/>
    <mergeCell ref="J2:L2"/>
    <mergeCell ref="N2:P2"/>
    <mergeCell ref="A13:Q13"/>
    <mergeCell ref="B14:D14"/>
    <mergeCell ref="F14:H14"/>
    <mergeCell ref="J14:L14"/>
    <mergeCell ref="N14:P14"/>
    <mergeCell ref="A25:Q2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DF57-E784-4C0A-8AD2-B6F47D67A7F8}">
  <dimension ref="A1:Q19"/>
  <sheetViews>
    <sheetView topLeftCell="A4" workbookViewId="0">
      <selection activeCell="O18" sqref="O18:P19"/>
    </sheetView>
  </sheetViews>
  <sheetFormatPr defaultRowHeight="14" x14ac:dyDescent="0.3"/>
  <sheetData>
    <row r="1" spans="1:17" x14ac:dyDescent="0.3">
      <c r="A1" s="18" t="s">
        <v>69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3">
      <c r="B2" s="18" t="s">
        <v>70</v>
      </c>
      <c r="C2" s="18"/>
      <c r="D2" s="18"/>
      <c r="F2" s="18" t="s">
        <v>62</v>
      </c>
      <c r="G2" s="18"/>
      <c r="H2" s="18"/>
      <c r="J2" s="18" t="s">
        <v>71</v>
      </c>
      <c r="K2" s="18"/>
      <c r="L2" s="18"/>
      <c r="N2" s="18" t="s">
        <v>72</v>
      </c>
      <c r="O2" s="18"/>
      <c r="P2" s="18"/>
    </row>
    <row r="3" spans="1:17" x14ac:dyDescent="0.3">
      <c r="C3" t="s">
        <v>64</v>
      </c>
      <c r="D3" t="s">
        <v>63</v>
      </c>
      <c r="G3" t="s">
        <v>64</v>
      </c>
      <c r="H3" t="s">
        <v>63</v>
      </c>
      <c r="K3" t="s">
        <v>64</v>
      </c>
      <c r="L3" t="s">
        <v>63</v>
      </c>
      <c r="O3" t="s">
        <v>64</v>
      </c>
      <c r="P3" t="s">
        <v>63</v>
      </c>
    </row>
    <row r="4" spans="1:17" x14ac:dyDescent="0.3">
      <c r="B4" t="s">
        <v>84</v>
      </c>
      <c r="C4" s="1">
        <v>104.704689</v>
      </c>
      <c r="D4" s="1">
        <v>367.21600899999999</v>
      </c>
      <c r="F4" t="s">
        <v>84</v>
      </c>
      <c r="G4" s="1">
        <v>100.67364999999999</v>
      </c>
      <c r="H4" s="1">
        <v>322.24912899999998</v>
      </c>
      <c r="J4" t="s">
        <v>84</v>
      </c>
      <c r="K4" s="1">
        <v>96.485935999999995</v>
      </c>
      <c r="L4" s="1">
        <v>314.02117600000003</v>
      </c>
      <c r="N4" t="s">
        <v>84</v>
      </c>
      <c r="O4" s="1">
        <v>100.80450500000001</v>
      </c>
      <c r="P4" s="1">
        <v>333.65764899999999</v>
      </c>
    </row>
    <row r="5" spans="1:17" x14ac:dyDescent="0.3">
      <c r="B5" t="s">
        <v>85</v>
      </c>
      <c r="C5" s="1">
        <v>1617.092457</v>
      </c>
      <c r="D5" s="1" t="s">
        <v>73</v>
      </c>
      <c r="F5" t="s">
        <v>85</v>
      </c>
      <c r="G5" s="1">
        <v>1501.486267</v>
      </c>
      <c r="H5" s="1">
        <v>5104.4632279999996</v>
      </c>
      <c r="J5" t="s">
        <v>85</v>
      </c>
      <c r="K5" s="1">
        <v>1446.793645</v>
      </c>
      <c r="L5" s="1">
        <v>4894.7154410000003</v>
      </c>
      <c r="N5" t="s">
        <v>85</v>
      </c>
      <c r="O5" s="1">
        <v>1477.2020419999999</v>
      </c>
      <c r="P5" s="1">
        <v>4974.5822340000004</v>
      </c>
    </row>
    <row r="8" spans="1:17" x14ac:dyDescent="0.3">
      <c r="A8" s="18" t="s">
        <v>74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x14ac:dyDescent="0.3">
      <c r="B9" s="18" t="s">
        <v>70</v>
      </c>
      <c r="C9" s="18"/>
      <c r="D9" s="18"/>
      <c r="F9" s="18" t="s">
        <v>62</v>
      </c>
      <c r="G9" s="18"/>
      <c r="H9" s="18"/>
      <c r="J9" s="18" t="s">
        <v>71</v>
      </c>
      <c r="K9" s="18"/>
      <c r="L9" s="18"/>
      <c r="N9" s="18" t="s">
        <v>72</v>
      </c>
      <c r="O9" s="18"/>
      <c r="P9" s="18"/>
    </row>
    <row r="10" spans="1:17" x14ac:dyDescent="0.3">
      <c r="C10" t="s">
        <v>64</v>
      </c>
      <c r="D10" t="s">
        <v>63</v>
      </c>
      <c r="G10" t="s">
        <v>64</v>
      </c>
      <c r="H10" t="s">
        <v>63</v>
      </c>
      <c r="K10" t="s">
        <v>64</v>
      </c>
      <c r="L10" t="s">
        <v>63</v>
      </c>
      <c r="O10" t="s">
        <v>64</v>
      </c>
      <c r="P10" t="s">
        <v>63</v>
      </c>
    </row>
    <row r="11" spans="1:17" x14ac:dyDescent="0.3">
      <c r="B11" t="s">
        <v>84</v>
      </c>
      <c r="C11" s="1">
        <v>0.16291262135922299</v>
      </c>
      <c r="D11" s="1">
        <v>0.117055555555555</v>
      </c>
      <c r="F11" t="s">
        <v>84</v>
      </c>
      <c r="G11" s="1">
        <v>0.131515151515151</v>
      </c>
      <c r="H11" s="1">
        <v>5.4622641509433897E-2</v>
      </c>
      <c r="J11" t="s">
        <v>84</v>
      </c>
      <c r="K11" s="1">
        <v>0.15042105263157801</v>
      </c>
      <c r="L11" s="1">
        <v>9.7774193548387095E-2</v>
      </c>
      <c r="N11" t="s">
        <v>84</v>
      </c>
      <c r="O11" s="1">
        <v>0.12777777777777699</v>
      </c>
      <c r="P11" s="1">
        <v>9.6116207951070301E-2</v>
      </c>
    </row>
    <row r="12" spans="1:17" x14ac:dyDescent="0.3">
      <c r="B12" t="s">
        <v>85</v>
      </c>
      <c r="C12" s="1">
        <v>0.11616212792906901</v>
      </c>
      <c r="D12" s="1" t="s">
        <v>73</v>
      </c>
      <c r="F12" t="s">
        <v>85</v>
      </c>
      <c r="G12" s="1">
        <v>8.4394861392833004E-2</v>
      </c>
      <c r="H12" s="1">
        <v>6.0931343283581997E-2</v>
      </c>
      <c r="J12" t="s">
        <v>85</v>
      </c>
      <c r="K12" s="1">
        <v>7.5760336370006995E-2</v>
      </c>
      <c r="L12" s="1">
        <v>5.6775933609958501E-2</v>
      </c>
      <c r="N12" t="s">
        <v>85</v>
      </c>
      <c r="O12" s="1">
        <v>8.6082474226804095E-2</v>
      </c>
      <c r="P12" s="1">
        <v>5.8681094324213902E-2</v>
      </c>
    </row>
    <row r="15" spans="1:17" x14ac:dyDescent="0.3">
      <c r="A15" s="18" t="s">
        <v>75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x14ac:dyDescent="0.3">
      <c r="B16" s="18" t="s">
        <v>70</v>
      </c>
      <c r="C16" s="18"/>
      <c r="D16" s="18"/>
      <c r="F16" s="18" t="s">
        <v>62</v>
      </c>
      <c r="G16" s="18"/>
      <c r="H16" s="18"/>
      <c r="J16" s="18" t="s">
        <v>71</v>
      </c>
      <c r="K16" s="18"/>
      <c r="L16" s="18"/>
      <c r="N16" s="18" t="s">
        <v>72</v>
      </c>
      <c r="O16" s="18"/>
      <c r="P16" s="18"/>
    </row>
    <row r="17" spans="2:16" x14ac:dyDescent="0.3">
      <c r="C17" t="s">
        <v>64</v>
      </c>
      <c r="D17" t="s">
        <v>63</v>
      </c>
      <c r="G17" t="s">
        <v>64</v>
      </c>
      <c r="H17" t="s">
        <v>63</v>
      </c>
      <c r="K17" t="s">
        <v>64</v>
      </c>
      <c r="L17" t="s">
        <v>63</v>
      </c>
      <c r="O17" t="s">
        <v>64</v>
      </c>
      <c r="P17" t="s">
        <v>63</v>
      </c>
    </row>
    <row r="18" spans="2:16" x14ac:dyDescent="0.3">
      <c r="B18" t="s">
        <v>84</v>
      </c>
      <c r="C18" s="1">
        <v>1383</v>
      </c>
      <c r="D18" s="1">
        <v>15118</v>
      </c>
      <c r="F18" t="s">
        <v>84</v>
      </c>
      <c r="G18" s="1">
        <v>1286</v>
      </c>
      <c r="H18" s="1">
        <v>2392</v>
      </c>
      <c r="J18" t="s">
        <v>84</v>
      </c>
      <c r="K18" s="1">
        <v>1519</v>
      </c>
      <c r="L18" s="1">
        <v>9933</v>
      </c>
      <c r="N18" t="s">
        <v>84</v>
      </c>
      <c r="O18" s="1">
        <v>1050</v>
      </c>
      <c r="P18" s="1">
        <v>9952</v>
      </c>
    </row>
    <row r="19" spans="2:16" x14ac:dyDescent="0.3">
      <c r="B19" t="s">
        <v>85</v>
      </c>
      <c r="C19" s="1">
        <v>2154</v>
      </c>
      <c r="D19" s="1" t="s">
        <v>73</v>
      </c>
      <c r="F19" t="s">
        <v>85</v>
      </c>
      <c r="G19" s="1">
        <v>1478</v>
      </c>
      <c r="H19" s="1">
        <v>3922</v>
      </c>
      <c r="J19" t="s">
        <v>85</v>
      </c>
      <c r="K19" s="1">
        <v>1093</v>
      </c>
      <c r="L19" s="1">
        <v>3263</v>
      </c>
      <c r="N19" t="s">
        <v>85</v>
      </c>
      <c r="O19" s="1">
        <v>1094</v>
      </c>
      <c r="P19" s="1">
        <v>3287</v>
      </c>
    </row>
  </sheetData>
  <mergeCells count="15">
    <mergeCell ref="B16:D16"/>
    <mergeCell ref="F16:H16"/>
    <mergeCell ref="J16:L16"/>
    <mergeCell ref="N16:P16"/>
    <mergeCell ref="A1:Q1"/>
    <mergeCell ref="B2:D2"/>
    <mergeCell ref="F2:H2"/>
    <mergeCell ref="J2:L2"/>
    <mergeCell ref="N2:P2"/>
    <mergeCell ref="A8:Q8"/>
    <mergeCell ref="B9:D9"/>
    <mergeCell ref="F9:H9"/>
    <mergeCell ref="J9:L9"/>
    <mergeCell ref="N9:P9"/>
    <mergeCell ref="A15:Q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80C67-CD37-4410-BAE3-0C5FE4271A35}">
  <dimension ref="A1:AC22"/>
  <sheetViews>
    <sheetView workbookViewId="0">
      <selection activeCell="A13" sqref="A13:AC13"/>
    </sheetView>
  </sheetViews>
  <sheetFormatPr defaultRowHeight="14" x14ac:dyDescent="0.3"/>
  <sheetData>
    <row r="1" spans="1:29" x14ac:dyDescent="0.3">
      <c r="A1" s="18" t="s">
        <v>64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x14ac:dyDescent="0.3">
      <c r="B2" s="18" t="s">
        <v>70</v>
      </c>
      <c r="C2" s="18"/>
      <c r="D2" s="18"/>
      <c r="E2" s="18"/>
      <c r="F2" s="18"/>
      <c r="G2" s="18"/>
      <c r="I2" s="18" t="s">
        <v>62</v>
      </c>
      <c r="J2" s="18"/>
      <c r="K2" s="18"/>
      <c r="L2" s="18"/>
      <c r="M2" s="18"/>
      <c r="N2" s="18"/>
      <c r="P2" s="18" t="s">
        <v>71</v>
      </c>
      <c r="Q2" s="18"/>
      <c r="R2" s="18"/>
      <c r="S2" s="18"/>
      <c r="T2" s="18"/>
      <c r="U2" s="18"/>
      <c r="W2" s="18" t="s">
        <v>72</v>
      </c>
      <c r="X2" s="18"/>
      <c r="Y2" s="18"/>
      <c r="Z2" s="18"/>
      <c r="AA2" s="18"/>
      <c r="AB2" s="18"/>
    </row>
    <row r="3" spans="1:29" x14ac:dyDescent="0.3">
      <c r="C3" s="1" t="s">
        <v>77</v>
      </c>
      <c r="D3" s="1" t="s">
        <v>76</v>
      </c>
      <c r="E3" s="1" t="s">
        <v>80</v>
      </c>
      <c r="F3" s="1" t="s">
        <v>78</v>
      </c>
      <c r="G3" s="1" t="s">
        <v>79</v>
      </c>
      <c r="J3" s="1" t="s">
        <v>77</v>
      </c>
      <c r="K3" s="1" t="s">
        <v>76</v>
      </c>
      <c r="L3" s="1" t="s">
        <v>80</v>
      </c>
      <c r="M3" s="1" t="s">
        <v>78</v>
      </c>
      <c r="N3" s="1" t="s">
        <v>79</v>
      </c>
      <c r="Q3" s="1" t="s">
        <v>77</v>
      </c>
      <c r="R3" s="1" t="s">
        <v>76</v>
      </c>
      <c r="S3" s="1" t="s">
        <v>80</v>
      </c>
      <c r="T3" s="1" t="s">
        <v>78</v>
      </c>
      <c r="U3" s="1" t="s">
        <v>79</v>
      </c>
      <c r="X3" s="1" t="s">
        <v>77</v>
      </c>
      <c r="Y3" s="1" t="s">
        <v>76</v>
      </c>
      <c r="Z3" s="1" t="s">
        <v>80</v>
      </c>
      <c r="AA3" s="1" t="s">
        <v>78</v>
      </c>
      <c r="AB3" s="1" t="s">
        <v>79</v>
      </c>
    </row>
    <row r="4" spans="1:29" x14ac:dyDescent="0.3">
      <c r="B4" t="s">
        <v>65</v>
      </c>
      <c r="C4" s="1">
        <v>0.2079</v>
      </c>
      <c r="D4" s="1">
        <v>0.177399999999999</v>
      </c>
      <c r="E4" s="1">
        <v>8.9700000000000002E-2</v>
      </c>
      <c r="F4" s="1">
        <v>0.1444</v>
      </c>
      <c r="G4" s="1">
        <v>5.74E-2</v>
      </c>
      <c r="I4" t="s">
        <v>65</v>
      </c>
      <c r="J4" s="1">
        <v>0.1225</v>
      </c>
      <c r="K4" s="1">
        <v>0.2923</v>
      </c>
      <c r="L4" s="1">
        <v>0.14249999999999999</v>
      </c>
      <c r="M4" s="1">
        <v>0.1855</v>
      </c>
      <c r="N4" s="1">
        <v>9.8299999999999998E-2</v>
      </c>
      <c r="P4" t="s">
        <v>65</v>
      </c>
      <c r="Q4" s="1">
        <v>0.2467</v>
      </c>
      <c r="R4" s="1">
        <v>0.23100000000000001</v>
      </c>
      <c r="S4" s="1">
        <v>0.11210000000000001</v>
      </c>
      <c r="T4" s="1">
        <v>7.0599999999999996E-2</v>
      </c>
      <c r="U4" s="1">
        <v>6.7000000000000004E-2</v>
      </c>
      <c r="W4" t="s">
        <v>65</v>
      </c>
      <c r="X4" s="1">
        <v>0.1157</v>
      </c>
      <c r="Y4" s="1">
        <v>0.27739999999999998</v>
      </c>
      <c r="Z4" s="1">
        <v>0.13489999999999999</v>
      </c>
      <c r="AA4" s="1">
        <v>0.33799999999999902</v>
      </c>
      <c r="AB4" s="1">
        <v>0</v>
      </c>
    </row>
    <row r="5" spans="1:29" x14ac:dyDescent="0.3">
      <c r="B5" t="s">
        <v>17</v>
      </c>
      <c r="C5" s="1">
        <v>0.32979999999999998</v>
      </c>
      <c r="D5" s="1">
        <v>7.2700000000000001E-2</v>
      </c>
      <c r="E5" s="1">
        <v>4.2599999999999999E-2</v>
      </c>
      <c r="F5" s="1">
        <v>6.7099999999999896E-2</v>
      </c>
      <c r="G5" s="1">
        <v>8.5900000000000004E-2</v>
      </c>
      <c r="I5" t="s">
        <v>17</v>
      </c>
      <c r="J5" s="1">
        <v>0.1366</v>
      </c>
      <c r="K5" s="1">
        <v>0.34320000000000001</v>
      </c>
      <c r="L5" s="1">
        <v>0.20449999999999999</v>
      </c>
      <c r="M5" s="1">
        <v>6.7299999999999999E-2</v>
      </c>
      <c r="N5" s="1">
        <v>4.7100000000000003E-2</v>
      </c>
      <c r="P5" t="s">
        <v>17</v>
      </c>
      <c r="Q5" s="1">
        <v>0.1211</v>
      </c>
      <c r="R5" s="1">
        <v>0.3669</v>
      </c>
      <c r="S5" s="1">
        <v>0.2198</v>
      </c>
      <c r="T5" s="1">
        <v>4.5999999999999999E-2</v>
      </c>
      <c r="U5" s="1">
        <v>1.15E-2</v>
      </c>
      <c r="W5" t="s">
        <v>17</v>
      </c>
      <c r="X5" s="1">
        <v>0.13189999999999999</v>
      </c>
      <c r="Y5" s="1">
        <v>0.33179999999999998</v>
      </c>
      <c r="Z5" s="1">
        <v>0.1966</v>
      </c>
      <c r="AA5" s="1">
        <v>0.12529999999999999</v>
      </c>
      <c r="AB5" s="1">
        <v>0</v>
      </c>
    </row>
    <row r="6" spans="1:29" x14ac:dyDescent="0.3">
      <c r="B6" t="s">
        <v>66</v>
      </c>
      <c r="C6" s="1">
        <v>0.43419999999999997</v>
      </c>
      <c r="D6" s="1">
        <v>8.3599999999999994E-2</v>
      </c>
      <c r="E6" s="1">
        <v>5.0499999999999899E-2</v>
      </c>
      <c r="F6" s="1">
        <v>3.0200000000000001E-2</v>
      </c>
      <c r="G6" s="1">
        <v>4.24E-2</v>
      </c>
      <c r="I6" t="s">
        <v>66</v>
      </c>
      <c r="J6" s="1">
        <v>0.15179999999999999</v>
      </c>
      <c r="K6" s="1">
        <v>0.40679999999999999</v>
      </c>
      <c r="L6" s="1">
        <v>0.24959999999999999</v>
      </c>
      <c r="M6" s="1">
        <v>5.04E-2</v>
      </c>
      <c r="N6" s="1">
        <v>4.3700000000000003E-2</v>
      </c>
      <c r="P6" t="s">
        <v>66</v>
      </c>
      <c r="Q6" s="1">
        <v>0.15629999999999999</v>
      </c>
      <c r="R6" s="1">
        <v>0.39019999999999999</v>
      </c>
      <c r="S6" s="1">
        <v>0.23949999999999999</v>
      </c>
      <c r="T6" s="1">
        <v>3.1699999999999999E-2</v>
      </c>
      <c r="U6" s="1">
        <v>2.3799999999999901E-2</v>
      </c>
      <c r="W6" t="s">
        <v>66</v>
      </c>
      <c r="X6" s="1">
        <v>0.1469</v>
      </c>
      <c r="Y6" s="1">
        <v>0.39219999999999999</v>
      </c>
      <c r="Z6" s="1">
        <v>0.24129999999999999</v>
      </c>
      <c r="AA6" s="1">
        <v>0.1048</v>
      </c>
      <c r="AB6" s="1">
        <v>0</v>
      </c>
    </row>
    <row r="7" spans="1:29" x14ac:dyDescent="0.3">
      <c r="B7" t="s">
        <v>13</v>
      </c>
      <c r="C7" s="1">
        <v>0.173099999999999</v>
      </c>
      <c r="D7" s="1">
        <v>0.1946</v>
      </c>
      <c r="E7" s="1">
        <v>0.1196</v>
      </c>
      <c r="F7" s="1">
        <v>5.4899999999999997E-2</v>
      </c>
      <c r="G7" s="1">
        <v>8.5199999999999998E-2</v>
      </c>
      <c r="I7" t="s">
        <v>13</v>
      </c>
      <c r="J7" s="1">
        <v>8.8200000000000001E-2</v>
      </c>
      <c r="K7" s="1">
        <v>0.45799999999999902</v>
      </c>
      <c r="L7" s="1">
        <v>0.28010000000000002</v>
      </c>
      <c r="M7" s="1">
        <v>4.9599999999999998E-2</v>
      </c>
      <c r="N7" s="1">
        <v>3.8800000000000001E-2</v>
      </c>
      <c r="P7" t="s">
        <v>13</v>
      </c>
      <c r="Q7" s="1">
        <v>9.5899999999999999E-2</v>
      </c>
      <c r="R7" s="1">
        <v>0.446599999999999</v>
      </c>
      <c r="S7" s="1">
        <v>0.27300000000000002</v>
      </c>
      <c r="T7" s="1">
        <v>2.7799999999999998E-2</v>
      </c>
      <c r="U7" s="1">
        <v>2.04999999999999E-2</v>
      </c>
      <c r="W7" t="s">
        <v>13</v>
      </c>
      <c r="X7" s="1">
        <v>8.5099999999999995E-2</v>
      </c>
      <c r="Y7" s="1">
        <v>0.44390000000000002</v>
      </c>
      <c r="Z7" s="1">
        <v>0.27110000000000001</v>
      </c>
      <c r="AA7" s="1">
        <v>9.4700000000000006E-2</v>
      </c>
      <c r="AB7" s="1">
        <v>0</v>
      </c>
    </row>
    <row r="8" spans="1:29" x14ac:dyDescent="0.3">
      <c r="B8" t="s">
        <v>67</v>
      </c>
      <c r="C8" s="1">
        <v>0.30579999999999902</v>
      </c>
      <c r="D8" s="1">
        <v>0.1341</v>
      </c>
      <c r="E8" s="1">
        <v>8.2199999999999995E-2</v>
      </c>
      <c r="F8" s="1">
        <v>4.1700000000000001E-2</v>
      </c>
      <c r="G8" s="1">
        <v>6.2100000000000002E-2</v>
      </c>
      <c r="I8" t="s">
        <v>67</v>
      </c>
      <c r="J8" s="1">
        <v>0.19420000000000001</v>
      </c>
      <c r="K8" s="1">
        <v>0.39750000000000002</v>
      </c>
      <c r="L8" s="1">
        <v>0.24239999999999901</v>
      </c>
      <c r="M8" s="1">
        <v>4.7399999999999998E-2</v>
      </c>
      <c r="N8" s="1">
        <v>3.9699999999999999E-2</v>
      </c>
      <c r="P8" t="s">
        <v>67</v>
      </c>
      <c r="Q8" s="1">
        <v>0.1968</v>
      </c>
      <c r="R8" s="1">
        <v>0.38650000000000001</v>
      </c>
      <c r="S8" s="1">
        <v>0.2344</v>
      </c>
      <c r="T8" s="1">
        <v>2.6200000000000001E-2</v>
      </c>
      <c r="U8" s="1">
        <v>2.33999999999999E-2</v>
      </c>
      <c r="W8" t="s">
        <v>67</v>
      </c>
      <c r="X8" s="1">
        <v>0.188999999999999</v>
      </c>
      <c r="Y8" s="1">
        <v>0.38829999999999998</v>
      </c>
      <c r="Z8" s="1">
        <v>0.2366</v>
      </c>
      <c r="AA8" s="1">
        <v>9.0700000000000003E-2</v>
      </c>
      <c r="AB8" s="1">
        <v>0</v>
      </c>
    </row>
    <row r="9" spans="1:29" x14ac:dyDescent="0.3">
      <c r="B9" t="s">
        <v>16</v>
      </c>
      <c r="C9" s="1">
        <v>0.49349999999999999</v>
      </c>
      <c r="D9" s="1">
        <v>4.65E-2</v>
      </c>
      <c r="E9" s="1">
        <v>2.8500000000000001E-2</v>
      </c>
      <c r="F9" s="1">
        <v>7.6E-3</v>
      </c>
      <c r="G9" s="1">
        <v>2.79999999999999E-2</v>
      </c>
      <c r="I9" t="s">
        <v>16</v>
      </c>
      <c r="J9" s="1">
        <v>0.60109999999999997</v>
      </c>
      <c r="K9" s="1">
        <v>0.2167</v>
      </c>
      <c r="L9" s="1">
        <v>0.126</v>
      </c>
      <c r="M9" s="1">
        <v>1.6500000000000001E-2</v>
      </c>
      <c r="N9" s="1">
        <v>1.29E-2</v>
      </c>
      <c r="P9" t="s">
        <v>16</v>
      </c>
      <c r="Q9" s="1">
        <v>0.57709999999999995</v>
      </c>
      <c r="R9" s="1">
        <v>0.22689999999999999</v>
      </c>
      <c r="S9" s="1">
        <v>0.1323</v>
      </c>
      <c r="T9" s="1">
        <v>9.1000000000000004E-3</v>
      </c>
      <c r="U9" s="1">
        <v>7.6E-3</v>
      </c>
      <c r="W9" t="s">
        <v>16</v>
      </c>
      <c r="X9" s="1">
        <v>0.59140000000000004</v>
      </c>
      <c r="Y9" s="1">
        <v>0.2127</v>
      </c>
      <c r="Z9" s="1">
        <v>0.124</v>
      </c>
      <c r="AA9" s="1">
        <v>3.6999999999999998E-2</v>
      </c>
      <c r="AB9" s="1">
        <v>0</v>
      </c>
    </row>
    <row r="10" spans="1:29" x14ac:dyDescent="0.3">
      <c r="B10" t="s">
        <v>68</v>
      </c>
      <c r="C10" s="1">
        <v>0.46820000000000001</v>
      </c>
      <c r="D10" s="1">
        <v>8.3000000000000001E-3</v>
      </c>
      <c r="E10" s="1">
        <v>5.1999999999999998E-3</v>
      </c>
      <c r="F10" s="1">
        <v>8.9999999999999998E-4</v>
      </c>
      <c r="G10" s="1">
        <v>2.75E-2</v>
      </c>
      <c r="I10" t="s">
        <v>68</v>
      </c>
      <c r="J10" s="1">
        <v>0.89249999999999996</v>
      </c>
      <c r="K10" s="1">
        <v>6.1399999999999899E-2</v>
      </c>
      <c r="L10" s="1">
        <v>2.9499999999999998E-2</v>
      </c>
      <c r="M10" s="1">
        <v>5.0000000000000001E-3</v>
      </c>
      <c r="N10" s="1">
        <v>2.8999999999999998E-3</v>
      </c>
      <c r="P10" t="s">
        <v>68</v>
      </c>
      <c r="Q10" s="1">
        <v>0.90139999999999998</v>
      </c>
      <c r="R10" s="1">
        <v>5.7799999999999997E-2</v>
      </c>
      <c r="S10" s="1">
        <v>2.7799999999999998E-2</v>
      </c>
      <c r="T10" s="1">
        <v>2.5999999999999999E-3</v>
      </c>
      <c r="U10" s="1">
        <v>1.1999999999999999E-3</v>
      </c>
      <c r="W10" t="s">
        <v>68</v>
      </c>
      <c r="X10" s="1">
        <v>0.89099999999999902</v>
      </c>
      <c r="Y10" s="1">
        <v>6.1499999999999999E-2</v>
      </c>
      <c r="Z10" s="1">
        <v>2.9600000000000001E-2</v>
      </c>
      <c r="AA10" s="1">
        <v>9.2999999999999992E-3</v>
      </c>
      <c r="AB10" s="1">
        <v>0</v>
      </c>
    </row>
    <row r="13" spans="1:29" x14ac:dyDescent="0.3">
      <c r="A13" s="18" t="s">
        <v>63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spans="1:29" x14ac:dyDescent="0.3">
      <c r="B14" s="18" t="s">
        <v>70</v>
      </c>
      <c r="C14" s="18"/>
      <c r="D14" s="18"/>
      <c r="E14" s="18"/>
      <c r="F14" s="18"/>
      <c r="G14" s="18"/>
      <c r="I14" s="18" t="s">
        <v>62</v>
      </c>
      <c r="J14" s="18"/>
      <c r="K14" s="18"/>
      <c r="L14" s="18"/>
      <c r="M14" s="18"/>
      <c r="N14" s="18"/>
      <c r="P14" s="18" t="s">
        <v>71</v>
      </c>
      <c r="Q14" s="18"/>
      <c r="R14" s="18"/>
      <c r="S14" s="18"/>
      <c r="T14" s="18"/>
      <c r="U14" s="18"/>
      <c r="W14" s="18" t="s">
        <v>72</v>
      </c>
      <c r="X14" s="18"/>
      <c r="Y14" s="18"/>
      <c r="Z14" s="18"/>
      <c r="AA14" s="18"/>
      <c r="AB14" s="18"/>
    </row>
    <row r="15" spans="1:29" x14ac:dyDescent="0.3">
      <c r="C15" s="1" t="s">
        <v>76</v>
      </c>
      <c r="D15" s="1" t="s">
        <v>82</v>
      </c>
      <c r="E15" s="1" t="s">
        <v>81</v>
      </c>
      <c r="F15" s="1" t="s">
        <v>80</v>
      </c>
      <c r="G15" s="1" t="s">
        <v>79</v>
      </c>
      <c r="J15" s="1" t="s">
        <v>76</v>
      </c>
      <c r="K15" s="1" t="s">
        <v>82</v>
      </c>
      <c r="L15" s="1" t="s">
        <v>81</v>
      </c>
      <c r="M15" s="1" t="s">
        <v>80</v>
      </c>
      <c r="N15" s="1" t="s">
        <v>79</v>
      </c>
      <c r="Q15" s="1" t="s">
        <v>76</v>
      </c>
      <c r="R15" s="1" t="s">
        <v>82</v>
      </c>
      <c r="S15" s="1" t="s">
        <v>81</v>
      </c>
      <c r="T15" s="1" t="s">
        <v>80</v>
      </c>
      <c r="U15" s="1" t="s">
        <v>79</v>
      </c>
      <c r="X15" s="1" t="s">
        <v>76</v>
      </c>
      <c r="Y15" s="1" t="s">
        <v>82</v>
      </c>
      <c r="Z15" s="1" t="s">
        <v>81</v>
      </c>
      <c r="AA15" s="1" t="s">
        <v>80</v>
      </c>
      <c r="AB15" s="1" t="s">
        <v>79</v>
      </c>
    </row>
    <row r="16" spans="1:29" x14ac:dyDescent="0.3">
      <c r="B16" t="s">
        <v>65</v>
      </c>
      <c r="C16" s="1">
        <v>0.1328</v>
      </c>
      <c r="D16" s="1">
        <v>7.4800000000000005E-2</v>
      </c>
      <c r="E16" s="1">
        <v>4.1700000000000001E-2</v>
      </c>
      <c r="F16" s="1">
        <v>0</v>
      </c>
      <c r="G16" s="1">
        <v>0.1525</v>
      </c>
      <c r="I16" t="s">
        <v>65</v>
      </c>
      <c r="J16" s="1">
        <v>0.2782</v>
      </c>
      <c r="K16" s="1">
        <v>3.1099999999999999E-2</v>
      </c>
      <c r="L16" s="1">
        <v>3.4500000000000003E-2</v>
      </c>
      <c r="M16" s="1">
        <v>0.13519999999999999</v>
      </c>
      <c r="N16" s="1">
        <v>0.05</v>
      </c>
      <c r="P16" t="s">
        <v>65</v>
      </c>
      <c r="Q16" s="1">
        <v>0.1371</v>
      </c>
      <c r="R16" s="1">
        <v>0.26850000000000002</v>
      </c>
      <c r="S16" s="1">
        <v>0.2646</v>
      </c>
      <c r="T16" s="1">
        <v>6.6600000000000006E-2</v>
      </c>
      <c r="U16" s="1">
        <v>3.9599999999999899E-2</v>
      </c>
      <c r="W16" t="s">
        <v>65</v>
      </c>
      <c r="X16" s="1">
        <v>0.13109999999999999</v>
      </c>
      <c r="Y16" s="1">
        <v>0.25679999999999997</v>
      </c>
      <c r="Z16" s="1">
        <v>0.25819999999999999</v>
      </c>
      <c r="AA16" s="1">
        <v>6.3600000000000004E-2</v>
      </c>
      <c r="AB16" s="1">
        <v>0</v>
      </c>
    </row>
    <row r="17" spans="2:28" x14ac:dyDescent="0.3">
      <c r="B17" t="s">
        <v>17</v>
      </c>
      <c r="C17" s="1">
        <v>2.8299999999999999E-2</v>
      </c>
      <c r="D17" s="1">
        <v>0.13009999999999999</v>
      </c>
      <c r="E17" s="1">
        <v>7.8799999999999995E-2</v>
      </c>
      <c r="F17" s="1">
        <v>1.66E-2</v>
      </c>
      <c r="G17" s="1">
        <v>0.3165</v>
      </c>
      <c r="I17" t="s">
        <v>17</v>
      </c>
      <c r="J17" s="1">
        <v>0.12889999999999999</v>
      </c>
      <c r="K17" s="1">
        <v>0.14449999999999999</v>
      </c>
      <c r="L17" s="1">
        <v>8.9599999999999999E-2</v>
      </c>
      <c r="M17" s="1">
        <v>7.6600000000000001E-2</v>
      </c>
      <c r="N17" s="1">
        <v>0.19620000000000001</v>
      </c>
      <c r="P17" t="s">
        <v>17</v>
      </c>
      <c r="Q17" s="1">
        <v>0.29070000000000001</v>
      </c>
      <c r="R17" s="1">
        <v>0.156</v>
      </c>
      <c r="S17" s="1">
        <v>8.7499999999999994E-2</v>
      </c>
      <c r="T17" s="1">
        <v>0.1734</v>
      </c>
      <c r="U17" s="1">
        <v>9.1999999999999998E-3</v>
      </c>
      <c r="W17" t="s">
        <v>17</v>
      </c>
      <c r="X17" s="1">
        <v>0.26719999999999999</v>
      </c>
      <c r="Y17" s="1">
        <v>0.14380000000000001</v>
      </c>
      <c r="Z17" s="1">
        <v>9.1399999999999995E-2</v>
      </c>
      <c r="AA17" s="1">
        <v>0.15939999999999999</v>
      </c>
      <c r="AB17" s="1">
        <v>0</v>
      </c>
    </row>
    <row r="18" spans="2:28" x14ac:dyDescent="0.3">
      <c r="B18" t="s">
        <v>66</v>
      </c>
      <c r="C18" s="1">
        <v>7.6100000000000001E-2</v>
      </c>
      <c r="D18" s="1">
        <v>0.1002</v>
      </c>
      <c r="E18" s="1">
        <v>0.1105</v>
      </c>
      <c r="F18" s="1">
        <v>4.5899999999999899E-2</v>
      </c>
      <c r="G18" s="1">
        <v>0.20829999999999901</v>
      </c>
      <c r="I18" t="s">
        <v>66</v>
      </c>
      <c r="J18" s="1">
        <v>0.2676</v>
      </c>
      <c r="K18" s="1">
        <v>8.5900000000000004E-2</v>
      </c>
      <c r="L18" s="1">
        <v>0.10059999999999999</v>
      </c>
      <c r="M18" s="1">
        <v>0.16469999999999901</v>
      </c>
      <c r="N18" s="1">
        <v>9.7100000000000006E-2</v>
      </c>
      <c r="P18" t="s">
        <v>66</v>
      </c>
      <c r="Q18" s="1">
        <v>0.26950000000000002</v>
      </c>
      <c r="R18" s="1">
        <v>0.17510000000000001</v>
      </c>
      <c r="S18" s="1">
        <v>0.21049999999999999</v>
      </c>
      <c r="T18" s="1">
        <v>0.16569999999999999</v>
      </c>
      <c r="U18" s="1">
        <v>1.6399999999999901E-2</v>
      </c>
      <c r="W18" t="s">
        <v>66</v>
      </c>
      <c r="X18" s="1">
        <v>0.25989999999999902</v>
      </c>
      <c r="Y18" s="1">
        <v>0.16899999999999901</v>
      </c>
      <c r="Z18" s="1">
        <v>0.21160000000000001</v>
      </c>
      <c r="AA18" s="1">
        <v>0.16009999999999999</v>
      </c>
      <c r="AB18" s="1">
        <v>0</v>
      </c>
    </row>
    <row r="19" spans="2:28" x14ac:dyDescent="0.3">
      <c r="B19" t="s">
        <v>13</v>
      </c>
      <c r="C19" s="1">
        <v>0.1106</v>
      </c>
      <c r="D19" s="1">
        <v>9.2200000000000004E-2</v>
      </c>
      <c r="E19" s="1">
        <v>5.0799999999999998E-2</v>
      </c>
      <c r="F19" s="1">
        <v>6.7599999999999993E-2</v>
      </c>
      <c r="G19" s="1">
        <v>0.2137</v>
      </c>
      <c r="I19" t="s">
        <v>13</v>
      </c>
      <c r="J19" s="1">
        <v>0.34899999999999998</v>
      </c>
      <c r="K19" s="1">
        <v>6.4500000000000002E-2</v>
      </c>
      <c r="L19" s="1">
        <v>4.5999999999999999E-2</v>
      </c>
      <c r="M19" s="1">
        <v>0.21340000000000001</v>
      </c>
      <c r="N19" s="1">
        <v>8.3000000000000004E-2</v>
      </c>
      <c r="P19" t="s">
        <v>13</v>
      </c>
      <c r="Q19" s="1">
        <v>0.38319999999999999</v>
      </c>
      <c r="R19" s="1">
        <v>0.12089999999999999</v>
      </c>
      <c r="S19" s="1">
        <v>7.2599999999999998E-2</v>
      </c>
      <c r="T19" s="1">
        <v>0.2344</v>
      </c>
      <c r="U19" s="1">
        <v>1.7500000000000002E-2</v>
      </c>
      <c r="W19" t="s">
        <v>13</v>
      </c>
      <c r="X19" s="1">
        <v>0.36959999999999998</v>
      </c>
      <c r="Y19" s="1">
        <v>0.1166</v>
      </c>
      <c r="Z19" s="1">
        <v>7.3700000000000002E-2</v>
      </c>
      <c r="AA19" s="1">
        <v>0.22589999999999999</v>
      </c>
      <c r="AB19" s="1">
        <v>0</v>
      </c>
    </row>
    <row r="20" spans="2:28" x14ac:dyDescent="0.3">
      <c r="B20" t="s">
        <v>67</v>
      </c>
      <c r="C20" s="1">
        <v>7.3300000000000004E-2</v>
      </c>
      <c r="D20" s="1">
        <v>0.1171</v>
      </c>
      <c r="E20" s="1">
        <v>5.8700000000000002E-2</v>
      </c>
      <c r="F20" s="1">
        <v>4.4900000000000002E-2</v>
      </c>
      <c r="G20" s="1">
        <v>0.2346</v>
      </c>
      <c r="I20" t="s">
        <v>67</v>
      </c>
      <c r="J20" s="1">
        <v>0.27179999999999999</v>
      </c>
      <c r="K20" s="1">
        <v>9.8499999999999893E-2</v>
      </c>
      <c r="L20" s="1">
        <v>5.6799999999999899E-2</v>
      </c>
      <c r="M20" s="1">
        <v>0.16539999999999999</v>
      </c>
      <c r="N20" s="1">
        <v>0.1172</v>
      </c>
      <c r="P20" t="s">
        <v>67</v>
      </c>
      <c r="Q20" s="1">
        <v>0.27289999999999998</v>
      </c>
      <c r="R20" s="1">
        <v>0.25140000000000001</v>
      </c>
      <c r="S20" s="1">
        <v>0.1331</v>
      </c>
      <c r="T20" s="1">
        <v>0.16639999999999999</v>
      </c>
      <c r="U20" s="1">
        <v>1.6500000000000001E-2</v>
      </c>
      <c r="W20" t="s">
        <v>67</v>
      </c>
      <c r="X20" s="1">
        <v>0.26669999999999999</v>
      </c>
      <c r="Y20" s="1">
        <v>0.2432</v>
      </c>
      <c r="Z20" s="1">
        <v>0.1353</v>
      </c>
      <c r="AA20" s="1">
        <v>0.1623</v>
      </c>
      <c r="AB20" s="1">
        <v>0</v>
      </c>
    </row>
    <row r="21" spans="2:28" x14ac:dyDescent="0.3">
      <c r="B21" t="s">
        <v>16</v>
      </c>
      <c r="C21" s="1" t="s">
        <v>83</v>
      </c>
      <c r="D21" s="1" t="s">
        <v>83</v>
      </c>
      <c r="E21" s="1" t="s">
        <v>83</v>
      </c>
      <c r="F21" s="1" t="s">
        <v>83</v>
      </c>
      <c r="G21" s="1" t="s">
        <v>83</v>
      </c>
      <c r="I21" t="s">
        <v>16</v>
      </c>
      <c r="J21" s="1">
        <v>8.7099999999999997E-2</v>
      </c>
      <c r="K21" s="1">
        <v>0.15629999999999999</v>
      </c>
      <c r="L21" s="1">
        <v>9.9599999999999994E-2</v>
      </c>
      <c r="M21" s="1">
        <v>5.0700000000000002E-2</v>
      </c>
      <c r="N21" s="1">
        <v>0.1719</v>
      </c>
      <c r="P21" t="s">
        <v>16</v>
      </c>
      <c r="Q21" s="1">
        <v>8.7300000000000003E-2</v>
      </c>
      <c r="R21" s="1">
        <v>0.45839999999999997</v>
      </c>
      <c r="S21" s="1">
        <v>0.2402</v>
      </c>
      <c r="T21" s="1">
        <v>5.0999999999999997E-2</v>
      </c>
      <c r="U21" s="1">
        <v>2.8999999999999998E-3</v>
      </c>
      <c r="W21" t="s">
        <v>16</v>
      </c>
      <c r="X21" s="1">
        <v>8.5299999999999904E-2</v>
      </c>
      <c r="Y21" s="1">
        <v>0.44479999999999997</v>
      </c>
      <c r="Z21" s="1">
        <v>0.25219999999999998</v>
      </c>
      <c r="AA21" s="1">
        <v>4.9599999999999998E-2</v>
      </c>
      <c r="AB21" s="1">
        <v>0</v>
      </c>
    </row>
    <row r="22" spans="2:28" x14ac:dyDescent="0.3">
      <c r="B22" t="s">
        <v>68</v>
      </c>
      <c r="C22" s="1" t="s">
        <v>83</v>
      </c>
      <c r="D22" s="1" t="s">
        <v>83</v>
      </c>
      <c r="E22" s="1" t="s">
        <v>83</v>
      </c>
      <c r="F22" s="1" t="s">
        <v>83</v>
      </c>
      <c r="G22" s="1" t="s">
        <v>83</v>
      </c>
      <c r="I22" t="s">
        <v>68</v>
      </c>
      <c r="J22" s="1">
        <v>1.0500000000000001E-2</v>
      </c>
      <c r="K22" s="1">
        <v>9.9099999999999994E-2</v>
      </c>
      <c r="L22" s="1">
        <v>0.41389999999999999</v>
      </c>
      <c r="M22" s="1">
        <v>5.0000000000000001E-3</v>
      </c>
      <c r="N22" s="1">
        <v>0.1414</v>
      </c>
      <c r="P22" t="s">
        <v>68</v>
      </c>
      <c r="Q22" s="1">
        <v>1.8100000000000002E-2</v>
      </c>
      <c r="R22" s="1">
        <v>0.22919999999999999</v>
      </c>
      <c r="S22" s="1">
        <v>0.52990000000000004</v>
      </c>
      <c r="T22" s="1">
        <v>8.6999999999999994E-3</v>
      </c>
      <c r="U22" s="1">
        <v>4.0000000000000002E-4</v>
      </c>
      <c r="W22" t="s">
        <v>68</v>
      </c>
      <c r="X22" s="1">
        <v>1.4999999999999999E-2</v>
      </c>
      <c r="Y22" s="1">
        <v>0.19020000000000001</v>
      </c>
      <c r="Z22" s="1">
        <v>0.60209999999999997</v>
      </c>
      <c r="AA22" s="1">
        <v>7.1999999999999998E-3</v>
      </c>
      <c r="AB22" s="1">
        <v>0</v>
      </c>
    </row>
  </sheetData>
  <mergeCells count="10">
    <mergeCell ref="B2:G2"/>
    <mergeCell ref="I2:N2"/>
    <mergeCell ref="P2:U2"/>
    <mergeCell ref="W2:AB2"/>
    <mergeCell ref="A1:AC1"/>
    <mergeCell ref="A13:AC13"/>
    <mergeCell ref="B14:G14"/>
    <mergeCell ref="I14:N14"/>
    <mergeCell ref="P14:U14"/>
    <mergeCell ref="W14:AB1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数据集</vt:lpstr>
      <vt:lpstr>A100 全图</vt:lpstr>
      <vt:lpstr>V100 全图</vt:lpstr>
      <vt:lpstr>V100 minibatch</vt:lpstr>
      <vt:lpstr>算子拆分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sqx</dc:creator>
  <cp:lastModifiedBy>张子峥</cp:lastModifiedBy>
  <dcterms:created xsi:type="dcterms:W3CDTF">2015-06-05T18:19:34Z</dcterms:created>
  <dcterms:modified xsi:type="dcterms:W3CDTF">2022-06-26T07:57:51Z</dcterms:modified>
</cp:coreProperties>
</file>